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loemphol/Projects/onep_budget/ref/"/>
    </mc:Choice>
  </mc:AlternateContent>
  <xr:revisionPtr revIDLastSave="0" documentId="13_ncr:1_{7909E2F5-DD5B-EF49-B8C1-C42664858F28}" xr6:coauthVersionLast="47" xr6:coauthVersionMax="47" xr10:uidLastSave="{00000000-0000-0000-0000-000000000000}"/>
  <bookViews>
    <workbookView xWindow="0" yWindow="500" windowWidth="36200" windowHeight="18720" activeTab="6" xr2:uid="{2871B9C7-8922-7C46-AFCD-260502B47E98}"/>
  </bookViews>
  <sheets>
    <sheet name="original" sheetId="2" state="hidden" r:id="rId1"/>
    <sheet name="events" sheetId="12" r:id="rId2"/>
    <sheet name="trainingseminar" sheetId="16" r:id="rId3"/>
    <sheet name="trainingseminar-private" sheetId="6" r:id="rId4"/>
    <sheet name="trainingseminar-gov" sheetId="3" r:id="rId5"/>
    <sheet name="businesstravel-domestic" sheetId="10" r:id="rId6"/>
    <sheet name="businesstravel-trainingseminar" sheetId="17" r:id="rId7"/>
    <sheet name="reward-assessor" sheetId="14" r:id="rId8"/>
    <sheet name="reward-supplywork" sheetId="15" r:id="rId9"/>
    <sheet name="meeting-committee" sheetId="8" r:id="rId10"/>
    <sheet name="meeting-subcommittee" sheetId="4" r:id="rId11"/>
    <sheet name="businesstravel-international" sheetId="5" state="hidden" r:id="rId12"/>
  </sheets>
  <definedNames>
    <definedName name="_xlnm._FilterDatabase" localSheetId="5" hidden="1">'businesstravel-domestic'!$A$1:$R$30</definedName>
    <definedName name="_xlnm._FilterDatabase" localSheetId="6" hidden="1">'businesstravel-trainingseminar'!$P$47:$P$47</definedName>
    <definedName name="_xlnm._FilterDatabase" localSheetId="1" hidden="1">events!$C$3:$C$8</definedName>
    <definedName name="_xlnm._FilterDatabase" localSheetId="2" hidden="1">trainingseminar!$P$44:$P$44</definedName>
    <definedName name="_xlnm._FilterDatabase" localSheetId="3" hidden="1">'trainingseminar-private'!$M$41:$M$41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17" l="1"/>
  <c r="D29" i="17"/>
  <c r="F9" i="4"/>
  <c r="F8" i="4"/>
  <c r="F7" i="4"/>
  <c r="F6" i="4"/>
  <c r="F5" i="4"/>
  <c r="F3" i="4"/>
  <c r="F11" i="4"/>
  <c r="E30" i="10"/>
  <c r="F12" i="4"/>
  <c r="F13" i="4"/>
  <c r="F14" i="4"/>
  <c r="F15" i="4"/>
  <c r="F15" i="8"/>
  <c r="F16" i="8"/>
  <c r="F14" i="8"/>
  <c r="F4" i="14"/>
  <c r="F5" i="14"/>
  <c r="F3" i="14"/>
  <c r="F20" i="8"/>
  <c r="F19" i="8"/>
  <c r="F18" i="8"/>
  <c r="D17" i="8"/>
  <c r="D13" i="8"/>
  <c r="F10" i="8"/>
  <c r="F11" i="8"/>
  <c r="F12" i="8"/>
  <c r="F9" i="8"/>
  <c r="F5" i="8"/>
  <c r="F6" i="8"/>
  <c r="F7" i="8"/>
  <c r="F4" i="8"/>
  <c r="D10" i="4"/>
  <c r="D4" i="4"/>
  <c r="D2" i="4"/>
  <c r="D21" i="8"/>
  <c r="D8" i="8"/>
  <c r="D3" i="8"/>
  <c r="D2" i="8"/>
  <c r="D2" i="15"/>
  <c r="D2" i="14"/>
  <c r="D29" i="10"/>
  <c r="D9" i="10"/>
  <c r="D6" i="10"/>
  <c r="D5" i="10"/>
  <c r="D2" i="10"/>
  <c r="G30" i="10"/>
  <c r="D3" i="10"/>
  <c r="F23" i="8"/>
  <c r="F24" i="8"/>
  <c r="F25" i="8"/>
  <c r="F22" i="8"/>
  <c r="D15" i="5" l="1"/>
  <c r="D11" i="5"/>
  <c r="D22" i="5"/>
  <c r="D19" i="5"/>
  <c r="D10" i="5"/>
  <c r="D3" i="5"/>
  <c r="D2" i="5"/>
</calcChain>
</file>

<file path=xl/sharedStrings.xml><?xml version="1.0" encoding="utf-8"?>
<sst xmlns="http://schemas.openxmlformats.org/spreadsheetml/2006/main" count="1796" uniqueCount="443">
  <si>
    <t>name</t>
  </si>
  <si>
    <t>a</t>
  </si>
  <si>
    <t>person</t>
  </si>
  <si>
    <t>count</t>
  </si>
  <si>
    <t>ค่าอาหารครบมื้อ</t>
  </si>
  <si>
    <t>day</t>
  </si>
  <si>
    <t>ค่าอาหารไม่ครบมื้อ</t>
  </si>
  <si>
    <t>เอกชน</t>
  </si>
  <si>
    <t>สถานที่ราชการ</t>
  </si>
  <si>
    <t>บุคลากรของรัฐ/ราชการ</t>
  </si>
  <si>
    <t>ไม่ใช่บุคลากรของรัฐ/ราชการ</t>
  </si>
  <si>
    <t>1. จัดอบรม สัมมนา (เอกชน/สถานที่ราชการ)</t>
  </si>
  <si>
    <t>รายการ</t>
  </si>
  <si>
    <t>เอกชน (บาท)</t>
  </si>
  <si>
    <t>สถานที่ราชการ (บาท)</t>
  </si>
  <si>
    <t>✓</t>
  </si>
  <si>
    <t>950 บาท/วัน/คน</t>
  </si>
  <si>
    <t>600 บาท/วัน/คน</t>
  </si>
  <si>
    <t>700 บาท/วัน/คน</t>
  </si>
  <si>
    <t>400 บาท/วัน/คน</t>
  </si>
  <si>
    <t>50 บาท</t>
  </si>
  <si>
    <t>35 บาท</t>
  </si>
  <si>
    <t>600 บาท/ชม.</t>
  </si>
  <si>
    <t>1,200 บาท/ชม.</t>
  </si>
  <si>
    <t>(blank)</t>
  </si>
  <si>
    <t>(ไม่เกิน 300 บาท จ่ายตรง)</t>
  </si>
  <si>
    <t>แห่งละ (ไม่เกิน  1,500 บาท )</t>
  </si>
  <si>
    <t>2. จัดประชุม (เอกชน/สถานที่ราชการ)</t>
  </si>
  <si>
    <t>คณะกรรมการ</t>
  </si>
  <si>
    <t>คณะอนุกรรมการ</t>
  </si>
  <si>
    <t xml:space="preserve">                                                 -  </t>
  </si>
  <si>
    <t xml:space="preserve">                                              -  </t>
  </si>
  <si>
    <t>1,000/ผู้รับประเมิน</t>
  </si>
  <si>
    <t xml:space="preserve">50 บาท </t>
  </si>
  <si>
    <t xml:space="preserve">35 บาท </t>
  </si>
  <si>
    <t xml:space="preserve">120 บาท </t>
  </si>
  <si>
    <t xml:space="preserve"> (blank) </t>
  </si>
  <si>
    <t xml:space="preserve"> </t>
  </si>
  <si>
    <t>3. เดินทางปฏิบัติราชการ (ต่างจัวหวัด + ต่างประเทศ)</t>
  </si>
  <si>
    <t>ต่างจังหวัด (บาท)</t>
  </si>
  <si>
    <t>ต่างประเทศ (บาท)</t>
  </si>
  <si>
    <t>ชั้นประหยัด/ชั้นธุรกิจ</t>
  </si>
  <si>
    <t>ชั้น1/ชั้นประหยัด/ชั้นธุรกิจ</t>
  </si>
  <si>
    <t>ค่าอาหารว่างและเครื่องดื่ม</t>
  </si>
  <si>
    <t>ค่าสมนาคุณวิทยากร</t>
  </si>
  <si>
    <t>1.4.1</t>
  </si>
  <si>
    <t>1.4.2</t>
  </si>
  <si>
    <t>อัตราพิเศษ</t>
  </si>
  <si>
    <t>ค่าเช่าห้องประชุม</t>
  </si>
  <si>
    <t>ค่าจัดทำเอกสาร</t>
  </si>
  <si>
    <t>ค่ากระเป๋า/สิ่งที่ใช้บรรจุเอกสาร</t>
  </si>
  <si>
    <t>ค่าของสมนาคุณในการดูงาน</t>
  </si>
  <si>
    <t>ค่าเช่า LCD</t>
  </si>
  <si>
    <t>ค่าตอบแทนและค่าเบี้ยประชุม</t>
  </si>
  <si>
    <t>2.1.1</t>
  </si>
  <si>
    <t>กก.วล.</t>
  </si>
  <si>
    <t>2.1.1.1</t>
  </si>
  <si>
    <t>ประธาน</t>
  </si>
  <si>
    <t>2.1.1.2</t>
  </si>
  <si>
    <t>รองประธาน</t>
  </si>
  <si>
    <t>2.1.1.3</t>
  </si>
  <si>
    <t>กรรมการและเลขานุการ</t>
  </si>
  <si>
    <t>2.1.2</t>
  </si>
  <si>
    <t>คชก.</t>
  </si>
  <si>
    <t>2.1.2.1</t>
  </si>
  <si>
    <t>2.1.2.2</t>
  </si>
  <si>
    <t>2.1.2.3</t>
  </si>
  <si>
    <t>2.1.3</t>
  </si>
  <si>
    <t>คกก.</t>
  </si>
  <si>
    <t>2.1.3.1</t>
  </si>
  <si>
    <t>2.1.3.2</t>
  </si>
  <si>
    <t>2.1.3.3</t>
  </si>
  <si>
    <t>2.1.4</t>
  </si>
  <si>
    <t>คกก.พัสดุ</t>
  </si>
  <si>
    <t>2.1.4.1</t>
  </si>
  <si>
    <t>2.1.4.3</t>
  </si>
  <si>
    <t>2.1.5</t>
  </si>
  <si>
    <t>เบี้ยประชุมคณะกรรมการบริหารทุนหมุนเวียน</t>
  </si>
  <si>
    <t>2.1.5.1</t>
  </si>
  <si>
    <t>2.1.5.2</t>
  </si>
  <si>
    <t>2.1.5.3</t>
  </si>
  <si>
    <t>2.1.6</t>
  </si>
  <si>
    <t>2.1.6.1</t>
  </si>
  <si>
    <t>2.1.6.2</t>
  </si>
  <si>
    <t>2.1.6.3</t>
  </si>
  <si>
    <t>2.1.7</t>
  </si>
  <si>
    <t>2.1.7.1</t>
  </si>
  <si>
    <t>2.1.7.2</t>
  </si>
  <si>
    <t>2.1.7.3</t>
  </si>
  <si>
    <t>2.1.8</t>
  </si>
  <si>
    <t>อื่นๆ</t>
  </si>
  <si>
    <t>2.1.8.1</t>
  </si>
  <si>
    <t>2.1.8.2</t>
  </si>
  <si>
    <t>2.1.8.3</t>
  </si>
  <si>
    <t>ค่าพาหนะ</t>
  </si>
  <si>
    <t>คณะกรรมการ (อ.ก.พ.)</t>
  </si>
  <si>
    <t>ค่าตอบแทนคณะกรรมการ (ประเมินผลงาน)</t>
  </si>
  <si>
    <t>ค่าอาหารกลางวัน</t>
  </si>
  <si>
    <t>ค่าจ้างถ่ายเอกสาร</t>
  </si>
  <si>
    <t>3.1.1</t>
  </si>
  <si>
    <t>3.1.2</t>
  </si>
  <si>
    <t>3.2.1</t>
  </si>
  <si>
    <t>3.2.2</t>
  </si>
  <si>
    <t>3.2.3</t>
  </si>
  <si>
    <t>3.2.4</t>
  </si>
  <si>
    <t>3.2.5</t>
  </si>
  <si>
    <t>3.4.1</t>
  </si>
  <si>
    <t>3.4.1.1</t>
  </si>
  <si>
    <t>3.4.1.2</t>
  </si>
  <si>
    <t>3.4.13</t>
  </si>
  <si>
    <t>3.4.1.4</t>
  </si>
  <si>
    <t>3.4.1.5</t>
  </si>
  <si>
    <t>3.4.1.6</t>
  </si>
  <si>
    <t>3.4.1.7</t>
  </si>
  <si>
    <t>3.4.1.8</t>
  </si>
  <si>
    <t>3.4.2</t>
  </si>
  <si>
    <t>3.4.2.1</t>
  </si>
  <si>
    <t>3.4.2.2</t>
  </si>
  <si>
    <t>3.4.2.3</t>
  </si>
  <si>
    <t>3.4.2.4</t>
  </si>
  <si>
    <t>3.4.2.4.1</t>
  </si>
  <si>
    <t>3.4.2.5</t>
  </si>
  <si>
    <t>3.4.2.5.1</t>
  </si>
  <si>
    <t>3.4.2.6</t>
  </si>
  <si>
    <t>3.4.2.6.1</t>
  </si>
  <si>
    <t>3.4.2.7</t>
  </si>
  <si>
    <t>3.4.2.8</t>
  </si>
  <si>
    <t>3.5.1</t>
  </si>
  <si>
    <t>3.5.2</t>
  </si>
  <si>
    <t>3.6.1</t>
  </si>
  <si>
    <t>3.6.2</t>
  </si>
  <si>
    <t xml:space="preserve">ค่าเบี้ยเลี้ยง   </t>
  </si>
  <si>
    <t xml:space="preserve">ระดับเชี่ยวชาญขึ้นไป   </t>
  </si>
  <si>
    <t xml:space="preserve">ระดับ ชพ. ลงมา </t>
  </si>
  <si>
    <t xml:space="preserve">ค่าพาหนะเดินทาง   </t>
  </si>
  <si>
    <t xml:space="preserve">ค่าโดยสารเครื่องบิน (เที่ยว)  </t>
  </si>
  <si>
    <t xml:space="preserve">ค่าธรรมเนียมการใช้สนามบิน   </t>
  </si>
  <si>
    <t xml:space="preserve">ค่าแท็กซี่ไปสนามบิน   </t>
  </si>
  <si>
    <t>ค่ารถโดยสาร (รถตู้) + ค่าน้ำมัน</t>
  </si>
  <si>
    <t>ค่ารถโดยสาร (รถบบัส) + ค่าน้ำมัน</t>
  </si>
  <si>
    <t xml:space="preserve">ค่าแท๊กซี่ (เที่ยว/คน)  </t>
  </si>
  <si>
    <t xml:space="preserve">ค่าที่พัก   </t>
  </si>
  <si>
    <t xml:space="preserve">พักคนเดียว   </t>
  </si>
  <si>
    <t>พัก 2 คน คนละ</t>
  </si>
  <si>
    <t xml:space="preserve">เหมาจ่าย/วัน/คน   </t>
  </si>
  <si>
    <t xml:space="preserve">ประเภท ก.  </t>
  </si>
  <si>
    <t xml:space="preserve">ประเภท ข.  </t>
  </si>
  <si>
    <t xml:space="preserve">ประเภท ค.  </t>
  </si>
  <si>
    <t xml:space="preserve">ประเภท ง.  </t>
  </si>
  <si>
    <t xml:space="preserve">ประเภท จ.  </t>
  </si>
  <si>
    <t xml:space="preserve">ประเภท ก. ห้องคู่ </t>
  </si>
  <si>
    <t xml:space="preserve">ประเภท ข. ห้องคู่ </t>
  </si>
  <si>
    <t xml:space="preserve">ประเภท ค. ห้องคู่ </t>
  </si>
  <si>
    <t xml:space="preserve">ค่าเครื่องแต่งกาย   </t>
  </si>
  <si>
    <t xml:space="preserve">ระดับชำนาญการขึ้นไป   </t>
  </si>
  <si>
    <t xml:space="preserve">ระดับชำนาญการพิเศษขึ้นไป   </t>
  </si>
  <si>
    <t xml:space="preserve">ค่ารับรอง   </t>
  </si>
  <si>
    <t xml:space="preserve">เดินทางไม่เกิน 15 วัน </t>
  </si>
  <si>
    <t xml:space="preserve">เดินทางเกิน 15 วัน </t>
  </si>
  <si>
    <t xml:space="preserve">ค่าของที่ระลึก (มีใบเสร็จ)  </t>
  </si>
  <si>
    <t xml:space="preserve">ค่าบริการโทรศัพท์และอินเตอร์เน็ต   </t>
  </si>
  <si>
    <t xml:space="preserve">ค่าใช้จ่ายอื่นๆ   </t>
  </si>
  <si>
    <t>order</t>
  </si>
  <si>
    <t>numbering</t>
  </si>
  <si>
    <t>remark</t>
  </si>
  <si>
    <t>method</t>
  </si>
  <si>
    <t>fixed</t>
  </si>
  <si>
    <t>max</t>
  </si>
  <si>
    <t>event</t>
  </si>
  <si>
    <t>variable</t>
  </si>
  <si>
    <t>leg</t>
  </si>
  <si>
    <t>meeting-committee</t>
  </si>
  <si>
    <t>meeting-subcommittee</t>
  </si>
  <si>
    <t>businesstravel-domestic</t>
  </si>
  <si>
    <t>ค่าเบี้ยเลี้ยง</t>
  </si>
  <si>
    <t>ระดับเชี่ยวชาญขึ้นไป</t>
  </si>
  <si>
    <t>ค่าพาหนะเดินทาง</t>
  </si>
  <si>
    <t>ค่าที่พัก</t>
  </si>
  <si>
    <t>พักคนเดียว</t>
  </si>
  <si>
    <t>เหมาจ่าย/วัน/คน</t>
  </si>
  <si>
    <t>ค่าเครื่องแต่งกาย</t>
  </si>
  <si>
    <t>ระดับชำนาญการขึ้นไป</t>
  </si>
  <si>
    <t>ระดับชำนาญการพิเศษขึ้นไป</t>
  </si>
  <si>
    <t>ค่ารับรอง</t>
  </si>
  <si>
    <t>ค่าบริการโทรศัพท์และอินเตอร์เน็ต</t>
  </si>
  <si>
    <t>ค่าใช้จ่ายอื่นๆ</t>
  </si>
  <si>
    <t>ค่าโดยสารเครื่องบิน (เที่ยว)</t>
  </si>
  <si>
    <t>ค่าของที่ระลึก (มีใบเสร็จ)</t>
  </si>
  <si>
    <t>isSectionHeader</t>
  </si>
  <si>
    <t>multiplicable</t>
  </si>
  <si>
    <t>ค่าอาหารเช้า</t>
  </si>
  <si>
    <t>ค่าอาหารเย็น</t>
  </si>
  <si>
    <t>1.1.1</t>
  </si>
  <si>
    <t>1.1.2</t>
  </si>
  <si>
    <t>1.1.3</t>
  </si>
  <si>
    <t>relation</t>
  </si>
  <si>
    <t>1.2.1</t>
  </si>
  <si>
    <t>1.2.2</t>
  </si>
  <si>
    <t>1.2.3</t>
  </si>
  <si>
    <t>ค่ารถโดยสาร (รถบัส) + ค่าน้ำมัน</t>
  </si>
  <si>
    <t>ค่าเช่าสถานที่</t>
  </si>
  <si>
    <t>ค่าวัสดุ เครื่องเขียน อุปกรณ์</t>
  </si>
  <si>
    <t>ค่าประกาศนียบัตร</t>
  </si>
  <si>
    <t>ค่าถ่ายเอกสาร</t>
  </si>
  <si>
    <t>ค่าพิมพ์เอกสาร</t>
  </si>
  <si>
    <t>ค่าหนังสือ</t>
  </si>
  <si>
    <t>ค่าใช้จ่ายในการติดต่อสื่อสาร</t>
  </si>
  <si>
    <t>ค่าเช่าอุปกรณ์ในการฝึกอบรม</t>
  </si>
  <si>
    <t>จ่ายจริง เหมาะสม ประหยัด</t>
  </si>
  <si>
    <t>units</t>
  </si>
  <si>
    <t>meal person day</t>
  </si>
  <si>
    <t>hour person</t>
  </si>
  <si>
    <t>icon</t>
  </si>
  <si>
    <t>food</t>
  </si>
  <si>
    <t>coffee</t>
  </si>
  <si>
    <t>ค่าเช่าที่พัก</t>
  </si>
  <si>
    <t>briefcase</t>
  </si>
  <si>
    <t>gift</t>
  </si>
  <si>
    <t>room</t>
  </si>
  <si>
    <t>accessories</t>
  </si>
  <si>
    <t>certificate</t>
  </si>
  <si>
    <t>printer</t>
  </si>
  <si>
    <t>books</t>
  </si>
  <si>
    <t>mobile</t>
  </si>
  <si>
    <t>place</t>
  </si>
  <si>
    <t>sectionHeader</t>
  </si>
  <si>
    <t>person assessee</t>
  </si>
  <si>
    <t>เดินทางไปราชการในประเทศ</t>
  </si>
  <si>
    <t>ค่าตอบแทน-คณะกรรมการประเมินผลงาน</t>
  </si>
  <si>
    <t>ค่าตอบแทน-บุคคลหรือกรรมการด้านพัสดุ</t>
  </si>
  <si>
    <t>reward-assessor</t>
  </si>
  <si>
    <t>reward-supplywork</t>
  </si>
  <si>
    <t>อัตราตามที่จ่ายจริง</t>
  </si>
  <si>
    <t>อัตราจ่ายจริง เหมาะสม ประหยัด</t>
  </si>
  <si>
    <t xml:space="preserve">พักเดี่ยว ระดับ 9 ขึ้นไป </t>
  </si>
  <si>
    <t>ค่าใช้จ่ายอื่น ๆ ที่จำเป็น</t>
  </si>
  <si>
    <t>[คลิกเพื่อแก้ไขชื่อ]</t>
  </si>
  <si>
    <t>ระดับ 9 ขึ้นไป</t>
  </si>
  <si>
    <t>ระดับ 8 ลงมา</t>
  </si>
  <si>
    <t>day person</t>
  </si>
  <si>
    <t>options</t>
  </si>
  <si>
    <t>เหมาจ่าย</t>
  </si>
  <si>
    <t>useOptions</t>
  </si>
  <si>
    <r>
      <t>จ่ายจริง</t>
    </r>
    <r>
      <rPr>
        <u/>
        <sz val="16"/>
        <color theme="1"/>
        <rFont val="TH SarabunPSK"/>
        <family val="2"/>
      </rPr>
      <t xml:space="preserve"> </t>
    </r>
  </si>
  <si>
    <t xml:space="preserve">ระดับ 9 ขึ้นไป พักคนเดียว </t>
  </si>
  <si>
    <t>ระดับ 9 ขึ้นไป พักคู่</t>
  </si>
  <si>
    <t>ระดับ 8 ลงมาพักคนเดียว</t>
  </si>
  <si>
    <t xml:space="preserve">ระดับ 8 ลงมาพักคู่ </t>
  </si>
  <si>
    <t>ค่าใช้จ่ายในการจัดประชุมทางราชการ</t>
  </si>
  <si>
    <t xml:space="preserve">สถานที่ราชการ </t>
  </si>
  <si>
    <t xml:space="preserve">ไม่เกิน 35 บาท/มื้อ/คน </t>
  </si>
  <si>
    <t xml:space="preserve">สถานที่เอกชน </t>
  </si>
  <si>
    <t xml:space="preserve">ไม่เกิน 50 บาท/มื้อ/คน </t>
  </si>
  <si>
    <t>ค่าอาหาร</t>
  </si>
  <si>
    <t>ค่าเบี้ยประชุม</t>
  </si>
  <si>
    <t>ประธานกรรมการ</t>
  </si>
  <si>
    <t>กรรมการ</t>
  </si>
  <si>
    <t>กรรมการและผู้ช่วยเลขานุการ</t>
  </si>
  <si>
    <t xml:space="preserve">รองประธานกรรมการ </t>
  </si>
  <si>
    <t xml:space="preserve">คณะกรรมการกองทุนหมุนเวียน  </t>
  </si>
  <si>
    <t>อนุกรรมการ</t>
  </si>
  <si>
    <t>จัดประชุมคณะกรรมการ</t>
  </si>
  <si>
    <t>จัดประชุมคณะอนุกรรมการ</t>
  </si>
  <si>
    <t>ค่าลงทะเบียน ค่าธรรมเนียมฝึกอบรม</t>
  </si>
  <si>
    <t>ค่าใช้จ่ายในพิธีเปิด-ปิด การฝึกอบรม</t>
  </si>
  <si>
    <t>ค่าตกแต่งสถานที่ฝึกอบรม</t>
  </si>
  <si>
    <t>3.2.1.1</t>
  </si>
  <si>
    <t>3.2.1.2</t>
  </si>
  <si>
    <t>3.2.2.1</t>
  </si>
  <si>
    <t>3.2.2.2</t>
  </si>
  <si>
    <t>3.2.2.3</t>
  </si>
  <si>
    <t>3.2.2.4</t>
  </si>
  <si>
    <t>optionValue</t>
  </si>
  <si>
    <t>ไม่เกิน 120 บาท/มื้อ/คน</t>
  </si>
  <si>
    <t>meal person</t>
  </si>
  <si>
    <t>รองประธานกรรมการ</t>
  </si>
  <si>
    <t>ค่าแท็กซี่</t>
  </si>
  <si>
    <t>ค่าชดเชยพาหนะส่วนตัว</t>
  </si>
  <si>
    <t>[คลิกเพื่อแก้ไข]</t>
  </si>
  <si>
    <t>พักคู่ ระดับ 8 ลงมา</t>
  </si>
  <si>
    <t>1.17.1</t>
  </si>
  <si>
    <t>1.17.2</t>
  </si>
  <si>
    <t>4.1.1</t>
  </si>
  <si>
    <t>4.1.2</t>
  </si>
  <si>
    <t>4.1.3</t>
  </si>
  <si>
    <t>5.1.1</t>
  </si>
  <si>
    <t>5.1.2</t>
  </si>
  <si>
    <t>5.1.3</t>
  </si>
  <si>
    <t>6.1.2</t>
  </si>
  <si>
    <t>6.1.2.3</t>
  </si>
  <si>
    <t>6.1.2.4</t>
  </si>
  <si>
    <t>6.1.3</t>
  </si>
  <si>
    <t>6.1.3.1</t>
  </si>
  <si>
    <t>6.1.3.2</t>
  </si>
  <si>
    <t>6.1.3.3</t>
  </si>
  <si>
    <t>6.1.1</t>
  </si>
  <si>
    <t>6.1.1.1</t>
  </si>
  <si>
    <t>6.1.1.2</t>
  </si>
  <si>
    <t>6.1.1.3</t>
  </si>
  <si>
    <t>6.1.1.4</t>
  </si>
  <si>
    <t>6.1.2.2</t>
  </si>
  <si>
    <t>7.1.1</t>
  </si>
  <si>
    <t>7.2.1</t>
  </si>
  <si>
    <t>7.2.2</t>
  </si>
  <si>
    <t>7.2.3</t>
  </si>
  <si>
    <t>7.3.1</t>
  </si>
  <si>
    <t>7.3.2</t>
  </si>
  <si>
    <t>7.3.3</t>
  </si>
  <si>
    <t>7.3.4</t>
  </si>
  <si>
    <t>free</t>
  </si>
  <si>
    <t>รวมทุกมื้อในวันเดียวกันไม่เกิน 950 บาท/วัน/คน</t>
  </si>
  <si>
    <t>รวมทุกมื้อในวันเดียวกันไม่เกิน 700 บาท/วัน/คน</t>
  </si>
  <si>
    <t>ไม่เกิน 600 บาท/ชม.</t>
  </si>
  <si>
    <t>ไม่เกิน 1,200 บาท/ชม.</t>
  </si>
  <si>
    <t>ไม่เกิน 50 บาท</t>
  </si>
  <si>
    <t>รวมทุกมื้อในวันเดียวกันไม่เกิน 600 บาท/วัน/คน</t>
  </si>
  <si>
    <t>รวมทุกมื้อในวันเดียวกันไม่เกิน 400 บาท/วัน/คน</t>
  </si>
  <si>
    <t>ไม่เกิน 35 บาท</t>
  </si>
  <si>
    <t>ไม่เกิน 300 บาท จ่ายตรง</t>
  </si>
  <si>
    <t>ไม่เกิน 900 บาท/วัน/คน</t>
  </si>
  <si>
    <t>7.4.1</t>
  </si>
  <si>
    <t>7.4.2</t>
  </si>
  <si>
    <t>7.4.1.1</t>
  </si>
  <si>
    <t>7.4.2.1</t>
  </si>
  <si>
    <t>ไม่เกิน 270 บาท/วัน/คน</t>
  </si>
  <si>
    <t>ไม่เกิน 240 บาท/วัน/คน</t>
  </si>
  <si>
    <t>ไม่เกิน 2200 บาท/วัน/คน</t>
  </si>
  <si>
    <t>ไม่เกิน 1500 บาท/วัน/คน</t>
  </si>
  <si>
    <t>ไม่เกิน 1200 บาท/วัน/คน</t>
  </si>
  <si>
    <t>ไม่เกิน 850 บาท/วัน/คน</t>
  </si>
  <si>
    <t>1,000 บาท/ผู้รับประเมิน</t>
  </si>
  <si>
    <t>1,500 บาท</t>
  </si>
  <si>
    <t>1,200 บาท</t>
  </si>
  <si>
    <t>10,000 บาท</t>
  </si>
  <si>
    <t>9,000 บาท</t>
  </si>
  <si>
    <t>8,000 บาท</t>
  </si>
  <si>
    <t>3,000 บาท</t>
  </si>
  <si>
    <t>2,400 บาท</t>
  </si>
  <si>
    <t>2,000 บาท</t>
  </si>
  <si>
    <t>1,800 บาท</t>
  </si>
  <si>
    <t>1,600 บาท</t>
  </si>
  <si>
    <t> 1,000  บาท</t>
  </si>
  <si>
    <t> 3,000  บาท</t>
  </si>
  <si>
    <t> 2,400  บาท</t>
  </si>
  <si>
    <t> 1,250  บาท</t>
  </si>
  <si>
    <t> 1,125  บาท</t>
  </si>
  <si>
    <t>ไม่เกิน 1,450 วัน/คน</t>
  </si>
  <si>
    <t>แห่งละไม่เกิน 1,500 บาท</t>
  </si>
  <si>
    <t>เงื่อนไข
 - การบรรยายเบิกได้ไม่เกิน 1 คน
 - การอภิปราย ไม่เกิน 5 คน
 - การแบ่งกลุ่ม กลุ่มละไม่เกิน 2 คน</t>
  </si>
  <si>
    <t>กรณีมีการเลี้ยงอาหาร  ค่าเบี้ยเลี้ยงที่ได้รับ จะนำมาหัก จำนวนเงินตามมื้ออาหาร
 -ระดับ 9 ขึ้นไป หักค่าอาหารมื้อละ 90 บาท
 -ระดับ 8 ลงมา หักค่าอาหารมื้อละ 80 บาท</t>
  </si>
  <si>
    <t>ค่าพาหนะอื่นๆ [คลิกเพื่อแก้ไข]</t>
  </si>
  <si>
    <t>hotel</t>
  </si>
  <si>
    <t>taxi</t>
  </si>
  <si>
    <t>airplane</t>
  </si>
  <si>
    <t>transport</t>
  </si>
  <si>
    <t>car</t>
  </si>
  <si>
    <t>note</t>
  </si>
  <si>
    <t>podium</t>
  </si>
  <si>
    <t>stage</t>
  </si>
  <si>
    <t>cash</t>
  </si>
  <si>
    <t>budget</t>
  </si>
  <si>
    <t>etc</t>
  </si>
  <si>
    <t>7.5.1</t>
  </si>
  <si>
    <t>7.4.3</t>
  </si>
  <si>
    <t>1.3.1</t>
  </si>
  <si>
    <t>1.18.1</t>
  </si>
  <si>
    <t>1.18.2</t>
  </si>
  <si>
    <t>subtotalTitle</t>
  </si>
  <si>
    <t>ค่าตอบแทนประธานกรรมการฯ</t>
  </si>
  <si>
    <t>ค่าตอบแทนกรรมการฯ</t>
  </si>
  <si>
    <t>showSubtotal</t>
  </si>
  <si>
    <t>ค่าตอบแทนกรรมการและเลขานุการ</t>
  </si>
  <si>
    <t>สถานที่และพิธิเปิด</t>
  </si>
  <si>
    <t>subtotal</t>
  </si>
  <si>
    <t>รถยนต์ กิโลเมตร ละ 4 บาท
รถจักรยานยนต์ กิโลเมตร ละ 2 บาท</t>
  </si>
  <si>
    <t>bag</t>
  </si>
  <si>
    <t>book</t>
  </si>
  <si>
    <t>km</t>
  </si>
  <si>
    <t>ค่ารถไฟ</t>
  </si>
  <si>
    <t>ค่าจ้างเหมาบริการรถยนต์</t>
  </si>
  <si>
    <t>train</t>
  </si>
  <si>
    <t>6.1.4</t>
  </si>
  <si>
    <t>6.1.4.1</t>
  </si>
  <si>
    <t>6.1.4.2</t>
  </si>
  <si>
    <t>6.1.4.3</t>
  </si>
  <si>
    <t>6.1.2.1</t>
  </si>
  <si>
    <t>คณะกรรมการ กอช.</t>
  </si>
  <si>
    <t>7.3.5</t>
  </si>
  <si>
    <t>6.1.5</t>
  </si>
  <si>
    <t>6.1.5.1</t>
  </si>
  <si>
    <t>6.1.5.2</t>
  </si>
  <si>
    <t>6.1.5.3</t>
  </si>
  <si>
    <t>6.1.5.4</t>
  </si>
  <si>
    <t>คณะอนุกรรมการ (กองทุนหมุนเวียน)</t>
  </si>
  <si>
    <t> 1,600  บาท</t>
  </si>
  <si>
    <t> 1,800  บาท</t>
  </si>
  <si>
    <t>2,000  บาท</t>
  </si>
  <si>
    <t>เลขานุการ</t>
  </si>
  <si>
    <t>hideCalculation</t>
  </si>
  <si>
    <t>9.1.1</t>
  </si>
  <si>
    <t>9.1.2</t>
  </si>
  <si>
    <t>9.1.3</t>
  </si>
  <si>
    <t>9.2.1</t>
  </si>
  <si>
    <t>9.2.2</t>
  </si>
  <si>
    <t>9.2.3</t>
  </si>
  <si>
    <t>9.2.4</t>
  </si>
  <si>
    <t>9.2.5</t>
  </si>
  <si>
    <t>9.2.6</t>
  </si>
  <si>
    <t>9.2.7</t>
  </si>
  <si>
    <t>9.1.1.1</t>
  </si>
  <si>
    <t>9.1.2.1</t>
  </si>
  <si>
    <t>9.3.1</t>
  </si>
  <si>
    <t>ค่าพาหนะอื่นๆ</t>
  </si>
  <si>
    <t>รายการใหม่</t>
  </si>
  <si>
    <t>7.2.4</t>
  </si>
  <si>
    <t>7.2.5</t>
  </si>
  <si>
    <t>night person</t>
  </si>
  <si>
    <t>ราชการ</t>
  </si>
  <si>
    <t>ห้องพักเดี่ยว</t>
  </si>
  <si>
    <t>ห้องพักคู่</t>
  </si>
  <si>
    <t>ค่าเช่าที่พัก (เหมาจ่าย)</t>
  </si>
  <si>
    <t>explicitHeader</t>
  </si>
  <si>
    <t>ค่าเครื่องบิน</t>
  </si>
  <si>
    <t>ค่าโดยสารรถประจำทาง</t>
  </si>
  <si>
    <t>ค่าตอบแทน</t>
  </si>
  <si>
    <t>9.1.3.1</t>
  </si>
  <si>
    <t>7.4.3.1</t>
  </si>
  <si>
    <t>ประธานอนุกรรมการ</t>
  </si>
  <si>
    <t>รองประธานอนุกรรมการ</t>
  </si>
  <si>
    <t>อนุกรรมการและผู้ช่วยเลขานุการ</t>
  </si>
  <si>
    <t>อนุกรรมการและเลขานุการ</t>
  </si>
  <si>
    <t xml:space="preserve">ค่าเช่าที่พัก (จ่ายจริง) </t>
  </si>
  <si>
    <t>trainingseminar</t>
  </si>
  <si>
    <t>ฝึกอบรม/จัดงาน</t>
  </si>
  <si>
    <t>เดินทางไปราชการและจัดอบรม</t>
  </si>
  <si>
    <t>1.3.1.1</t>
  </si>
  <si>
    <t>1.3.2</t>
  </si>
  <si>
    <t>1.3.2.1</t>
  </si>
  <si>
    <t>businesstravel-trainingseminar</t>
  </si>
  <si>
    <t>1.19.1</t>
  </si>
  <si>
    <t>1.19.2</t>
  </si>
  <si>
    <t>รวมทุกมื้อในวันเดียวกันไม่เกิน 600 บาท/วัน/คน (เอกชน 950 บาท/วัน/คน)</t>
  </si>
  <si>
    <t>รวมทุกมื้อในวันเดียวกันไม่เกิน 400 บาท/วัน/คน (เอกชน 700 บาท/วัน/คน)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</si>
</sst>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</numFmts>
  <fonts count="17" x14ac:knownFonts="1">
    <font>
      <sz val="12"/>
      <color theme="1"/>
      <name val="Calibri"/>
      <family val="2"/>
      <scheme val="minor"/>
    </font>
    <font>
      <b/>
      <sz val="16"/>
      <color rgb="FF000000"/>
      <name val="TH SarabunPSK"/>
      <family val="2"/>
    </font>
    <font>
      <sz val="16"/>
      <color rgb="FF000000"/>
      <name val="TH SarabunPSK"/>
      <family val="2"/>
    </font>
    <font>
      <sz val="11"/>
      <color rgb="FF000000"/>
      <name val="TH SarabunPSK"/>
      <family val="2"/>
    </font>
    <font>
      <sz val="14"/>
      <color rgb="FF000000"/>
      <name val="TH SarabunPSK"/>
      <family val="2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6"/>
      <color theme="1"/>
      <name val="TH SarabunPSK"/>
      <family val="2"/>
    </font>
    <font>
      <sz val="16"/>
      <color rgb="FFFF0000"/>
      <name val="TH SarabunPSK"/>
      <family val="2"/>
    </font>
    <font>
      <sz val="18"/>
      <color rgb="FF000000"/>
      <name val="TH SarabunPSK"/>
      <family val="2"/>
    </font>
    <font>
      <sz val="12"/>
      <color theme="1"/>
      <name val="TH Sarabun New"/>
      <family val="2"/>
    </font>
    <font>
      <sz val="16"/>
      <name val="TH SarabunPSK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theme="1"/>
      <name val="TH SarabunPSK"/>
      <family val="2"/>
    </font>
    <font>
      <sz val="12"/>
      <color theme="1"/>
      <name val="TH SarabunPSK"/>
      <family val="2"/>
    </font>
    <font>
      <sz val="12"/>
      <color rgb="FFFF0000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 tint="-4.9989318521683403E-2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3" borderId="3" xfId="0" applyFont="1" applyFill="1" applyBorder="1"/>
    <xf numFmtId="3" fontId="2" fillId="3" borderId="4" xfId="0" applyNumberFormat="1" applyFont="1" applyFill="1" applyBorder="1"/>
    <xf numFmtId="3" fontId="2" fillId="0" borderId="4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0" fontId="4" fillId="3" borderId="3" xfId="0" applyFont="1" applyFill="1" applyBorder="1"/>
    <xf numFmtId="165" fontId="2" fillId="0" borderId="4" xfId="0" applyNumberFormat="1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2" fillId="3" borderId="4" xfId="0" applyFont="1" applyFill="1" applyBorder="1"/>
    <xf numFmtId="165" fontId="2" fillId="0" borderId="4" xfId="0" applyNumberFormat="1" applyFont="1" applyBorder="1"/>
    <xf numFmtId="0" fontId="4" fillId="3" borderId="4" xfId="0" applyFont="1" applyFill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1" xfId="0" applyFont="1" applyBorder="1"/>
    <xf numFmtId="0" fontId="0" fillId="0" borderId="0" xfId="0" applyAlignment="1">
      <alignment horizontal="right"/>
    </xf>
    <xf numFmtId="0" fontId="2" fillId="3" borderId="3" xfId="0" applyFont="1" applyFill="1" applyBorder="1" applyAlignment="1">
      <alignment horizontal="right"/>
    </xf>
    <xf numFmtId="0" fontId="4" fillId="3" borderId="3" xfId="0" applyFont="1" applyFill="1" applyBorder="1" applyAlignment="1">
      <alignment horizontal="right"/>
    </xf>
    <xf numFmtId="0" fontId="2" fillId="0" borderId="5" xfId="0" applyFont="1" applyBorder="1"/>
    <xf numFmtId="0" fontId="1" fillId="0" borderId="0" xfId="0" applyFont="1" applyAlignment="1">
      <alignment horizontal="center"/>
    </xf>
    <xf numFmtId="0" fontId="2" fillId="3" borderId="4" xfId="0" applyFont="1" applyFill="1" applyBorder="1" applyAlignment="1">
      <alignment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2" fillId="4" borderId="3" xfId="0" applyFont="1" applyFill="1" applyBorder="1" applyAlignment="1">
      <alignment horizontal="right"/>
    </xf>
    <xf numFmtId="0" fontId="2" fillId="4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center"/>
    </xf>
    <xf numFmtId="0" fontId="6" fillId="0" borderId="0" xfId="0" applyFont="1"/>
    <xf numFmtId="0" fontId="8" fillId="0" borderId="4" xfId="0" applyFont="1" applyBorder="1"/>
    <xf numFmtId="0" fontId="8" fillId="0" borderId="4" xfId="0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left" vertical="top"/>
    </xf>
    <xf numFmtId="0" fontId="9" fillId="3" borderId="3" xfId="0" applyFont="1" applyFill="1" applyBorder="1" applyAlignment="1">
      <alignment horizontal="right"/>
    </xf>
    <xf numFmtId="0" fontId="10" fillId="0" borderId="0" xfId="0" applyFont="1"/>
    <xf numFmtId="0" fontId="11" fillId="0" borderId="4" xfId="0" applyFont="1" applyBorder="1"/>
    <xf numFmtId="0" fontId="11" fillId="0" borderId="4" xfId="0" applyFont="1" applyBorder="1" applyAlignment="1">
      <alignment horizontal="center"/>
    </xf>
    <xf numFmtId="49" fontId="2" fillId="0" borderId="4" xfId="0" applyNumberFormat="1" applyFont="1" applyBorder="1"/>
    <xf numFmtId="49" fontId="0" fillId="0" borderId="0" xfId="0" applyNumberFormat="1"/>
    <xf numFmtId="0" fontId="13" fillId="0" borderId="0" xfId="0" applyFont="1" applyAlignment="1">
      <alignment horizontal="left" vertical="top"/>
    </xf>
    <xf numFmtId="0" fontId="2" fillId="0" borderId="4" xfId="0" applyFont="1" applyBorder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14" fillId="0" borderId="0" xfId="0" applyFont="1"/>
    <xf numFmtId="0" fontId="2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right"/>
    </xf>
    <xf numFmtId="0" fontId="14" fillId="0" borderId="0" xfId="0" applyFont="1" applyAlignment="1">
      <alignment horizontal="center"/>
    </xf>
    <xf numFmtId="0" fontId="2" fillId="3" borderId="3" xfId="0" applyFont="1" applyFill="1" applyBorder="1" applyAlignment="1">
      <alignment horizontal="left" vertical="top"/>
    </xf>
    <xf numFmtId="49" fontId="2" fillId="0" borderId="4" xfId="1" applyNumberFormat="1" applyFont="1" applyBorder="1" applyAlignment="1">
      <alignment horizontal="right"/>
    </xf>
    <xf numFmtId="49" fontId="2" fillId="3" borderId="3" xfId="1" applyNumberFormat="1" applyFont="1" applyFill="1" applyBorder="1" applyAlignment="1">
      <alignment horizontal="right"/>
    </xf>
    <xf numFmtId="0" fontId="2" fillId="3" borderId="4" xfId="0" applyFont="1" applyFill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0" fontId="15" fillId="0" borderId="0" xfId="0" applyFont="1" applyAlignment="1">
      <alignment horizontal="left" vertical="top"/>
    </xf>
    <xf numFmtId="49" fontId="14" fillId="0" borderId="0" xfId="0" applyNumberFormat="1" applyFont="1"/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/>
    <xf numFmtId="49" fontId="2" fillId="3" borderId="4" xfId="0" applyNumberFormat="1" applyFont="1" applyFill="1" applyBorder="1"/>
    <xf numFmtId="49" fontId="2" fillId="0" borderId="4" xfId="0" applyNumberFormat="1" applyFont="1" applyBorder="1" applyAlignment="1">
      <alignment horizontal="right"/>
    </xf>
    <xf numFmtId="0" fontId="15" fillId="0" borderId="0" xfId="0" applyFont="1"/>
    <xf numFmtId="0" fontId="15" fillId="0" borderId="0" xfId="0" applyFont="1" applyAlignment="1">
      <alignment horizontal="right"/>
    </xf>
    <xf numFmtId="0" fontId="16" fillId="0" borderId="0" xfId="0" applyFont="1"/>
  </cellXfs>
  <cellStyles count="2">
    <cellStyle name="Comma" xfId="1" builtinId="3"/>
    <cellStyle name="Normal" xfId="0" builtinId="0"/>
  </cellStyles>
  <dxfs count="22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81471-148E-BE43-9B5B-DF18D697E38A}">
  <dimension ref="A1:N276"/>
  <sheetViews>
    <sheetView topLeftCell="A6" zoomScale="88" workbookViewId="0">
      <selection activeCell="C17" sqref="C17"/>
    </sheetView>
  </sheetViews>
  <sheetFormatPr baseColWidth="10" defaultRowHeight="16" x14ac:dyDescent="0.2"/>
  <cols>
    <col min="1" max="1" width="10.6640625" customWidth="1"/>
    <col min="2" max="2" width="39.83203125" customWidth="1"/>
    <col min="3" max="3" width="27.1640625" bestFit="1" customWidth="1"/>
    <col min="4" max="4" width="28.6640625" bestFit="1" customWidth="1"/>
  </cols>
  <sheetData>
    <row r="1" spans="1:14" ht="24" x14ac:dyDescent="0.4">
      <c r="A1" s="1" t="s">
        <v>11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24" x14ac:dyDescent="0.4">
      <c r="A2" s="4" t="s">
        <v>163</v>
      </c>
      <c r="B2" s="5" t="s">
        <v>0</v>
      </c>
      <c r="C2" s="5" t="s">
        <v>13</v>
      </c>
      <c r="D2" s="5" t="s">
        <v>14</v>
      </c>
      <c r="E2" s="2" t="s">
        <v>15</v>
      </c>
      <c r="F2" s="2"/>
      <c r="G2" s="2"/>
      <c r="H2" s="2"/>
      <c r="I2" s="2"/>
      <c r="J2" s="2"/>
      <c r="K2" s="2"/>
      <c r="L2" s="2"/>
      <c r="M2" s="2"/>
      <c r="N2" s="3"/>
    </row>
    <row r="3" spans="1:14" ht="24" x14ac:dyDescent="0.4">
      <c r="A3" s="26">
        <v>1.1000000000000001</v>
      </c>
      <c r="B3" s="8" t="s">
        <v>4</v>
      </c>
      <c r="C3" s="7" t="s">
        <v>16</v>
      </c>
      <c r="D3" s="7" t="s">
        <v>17</v>
      </c>
      <c r="E3" s="2"/>
      <c r="F3" s="2"/>
      <c r="G3" s="2"/>
      <c r="H3" s="2"/>
      <c r="I3" s="2"/>
      <c r="J3" s="2"/>
      <c r="K3" s="2"/>
      <c r="L3" s="2"/>
      <c r="M3" s="2"/>
      <c r="N3" s="3"/>
    </row>
    <row r="4" spans="1:14" ht="24" x14ac:dyDescent="0.4">
      <c r="A4" s="26">
        <v>1.2</v>
      </c>
      <c r="B4" s="8" t="s">
        <v>6</v>
      </c>
      <c r="C4" s="7" t="s">
        <v>18</v>
      </c>
      <c r="D4" s="7" t="s">
        <v>19</v>
      </c>
      <c r="E4" s="2"/>
      <c r="F4" s="2"/>
      <c r="G4" s="2"/>
      <c r="H4" s="2"/>
      <c r="I4" s="2"/>
      <c r="J4" s="2"/>
      <c r="K4" s="2"/>
      <c r="L4" s="2"/>
      <c r="M4" s="2"/>
      <c r="N4" s="3"/>
    </row>
    <row r="5" spans="1:14" ht="24" x14ac:dyDescent="0.4">
      <c r="A5" s="26">
        <v>1.3</v>
      </c>
      <c r="B5" s="8" t="s">
        <v>43</v>
      </c>
      <c r="C5" s="7" t="s">
        <v>20</v>
      </c>
      <c r="D5" s="7" t="s">
        <v>21</v>
      </c>
      <c r="E5" s="2"/>
      <c r="F5" s="2"/>
      <c r="G5" s="2"/>
      <c r="H5" s="2"/>
      <c r="I5" s="2"/>
      <c r="J5" s="2"/>
      <c r="K5" s="2"/>
      <c r="L5" s="2"/>
      <c r="M5" s="2"/>
      <c r="N5" s="3"/>
    </row>
    <row r="6" spans="1:14" ht="24" x14ac:dyDescent="0.4">
      <c r="A6" s="26">
        <v>1.4</v>
      </c>
      <c r="B6" s="28" t="s">
        <v>44</v>
      </c>
      <c r="C6" s="8"/>
      <c r="D6" s="8"/>
      <c r="E6" s="2"/>
      <c r="F6" s="2"/>
      <c r="G6" s="2"/>
      <c r="H6" s="2"/>
      <c r="I6" s="2"/>
      <c r="J6" s="2"/>
      <c r="K6" s="2"/>
      <c r="L6" s="2"/>
      <c r="M6" s="2"/>
      <c r="N6" s="3"/>
    </row>
    <row r="7" spans="1:14" ht="24" x14ac:dyDescent="0.4">
      <c r="A7" s="27" t="s">
        <v>45</v>
      </c>
      <c r="B7" s="28" t="s">
        <v>9</v>
      </c>
      <c r="C7" s="7" t="s">
        <v>22</v>
      </c>
      <c r="D7" s="7" t="s">
        <v>22</v>
      </c>
      <c r="E7" s="2"/>
      <c r="F7" s="2"/>
      <c r="G7" s="2"/>
      <c r="H7" s="2"/>
      <c r="I7" s="2"/>
      <c r="J7" s="2"/>
      <c r="K7" s="2"/>
      <c r="L7" s="2"/>
      <c r="M7" s="2"/>
      <c r="N7" s="3"/>
    </row>
    <row r="8" spans="1:14" ht="24" x14ac:dyDescent="0.4">
      <c r="A8" s="27" t="s">
        <v>46</v>
      </c>
      <c r="B8" s="28" t="s">
        <v>10</v>
      </c>
      <c r="C8" s="7" t="s">
        <v>23</v>
      </c>
      <c r="D8" s="7" t="s">
        <v>23</v>
      </c>
      <c r="E8" s="2"/>
      <c r="F8" s="2"/>
      <c r="G8" s="2"/>
      <c r="H8" s="2"/>
      <c r="I8" s="2"/>
      <c r="J8" s="2"/>
      <c r="K8" s="2"/>
      <c r="L8" s="2"/>
      <c r="M8" s="2"/>
      <c r="N8" s="3"/>
    </row>
    <row r="9" spans="1:14" ht="24" x14ac:dyDescent="0.4">
      <c r="A9" s="27">
        <v>14.3</v>
      </c>
      <c r="B9" s="28" t="s">
        <v>47</v>
      </c>
      <c r="C9" s="7" t="s">
        <v>24</v>
      </c>
      <c r="D9" s="7" t="s">
        <v>24</v>
      </c>
      <c r="E9" s="2"/>
      <c r="F9" s="2"/>
      <c r="G9" s="2"/>
      <c r="H9" s="2"/>
      <c r="I9" s="2"/>
      <c r="J9" s="2"/>
      <c r="K9" s="2"/>
      <c r="L9" s="2"/>
      <c r="M9" s="2"/>
      <c r="N9" s="3"/>
    </row>
    <row r="10" spans="1:14" ht="24" x14ac:dyDescent="0.4">
      <c r="A10" s="26">
        <v>1.5</v>
      </c>
      <c r="B10" s="28" t="s">
        <v>48</v>
      </c>
      <c r="C10" s="7" t="s">
        <v>24</v>
      </c>
      <c r="D10" s="7" t="s">
        <v>24</v>
      </c>
      <c r="E10" s="2"/>
      <c r="F10" s="2"/>
      <c r="G10" s="2"/>
      <c r="H10" s="2"/>
      <c r="I10" s="2"/>
      <c r="J10" s="2"/>
      <c r="K10" s="2"/>
      <c r="L10" s="2"/>
      <c r="M10" s="2"/>
      <c r="N10" s="3"/>
    </row>
    <row r="11" spans="1:14" ht="24" x14ac:dyDescent="0.4">
      <c r="A11" s="26">
        <v>1.6</v>
      </c>
      <c r="B11" s="8" t="s">
        <v>49</v>
      </c>
      <c r="C11" s="7" t="s">
        <v>24</v>
      </c>
      <c r="D11" s="7" t="s">
        <v>24</v>
      </c>
      <c r="E11" s="2"/>
      <c r="F11" s="2"/>
      <c r="G11" s="2"/>
      <c r="H11" s="2"/>
      <c r="I11" s="2"/>
      <c r="J11" s="2"/>
      <c r="K11" s="2"/>
      <c r="L11" s="2"/>
      <c r="M11" s="2"/>
      <c r="N11" s="3"/>
    </row>
    <row r="12" spans="1:14" ht="24" x14ac:dyDescent="0.4">
      <c r="A12" s="26">
        <v>1.7</v>
      </c>
      <c r="B12" s="8" t="s">
        <v>52</v>
      </c>
      <c r="C12" s="7" t="s">
        <v>24</v>
      </c>
      <c r="D12" s="7" t="s">
        <v>24</v>
      </c>
      <c r="E12" s="2"/>
      <c r="F12" s="2"/>
      <c r="G12" s="2"/>
      <c r="H12" s="2"/>
      <c r="I12" s="2"/>
      <c r="J12" s="2"/>
      <c r="K12" s="2"/>
      <c r="L12" s="2"/>
      <c r="M12" s="2"/>
      <c r="N12" s="3"/>
    </row>
    <row r="13" spans="1:14" ht="24" x14ac:dyDescent="0.4">
      <c r="A13" s="26">
        <v>1.8</v>
      </c>
      <c r="B13" s="8" t="s">
        <v>50</v>
      </c>
      <c r="C13" s="7" t="s">
        <v>25</v>
      </c>
      <c r="D13" s="7" t="s">
        <v>25</v>
      </c>
      <c r="E13" s="2"/>
      <c r="F13" s="2"/>
      <c r="G13" s="2"/>
      <c r="H13" s="2"/>
      <c r="I13" s="2"/>
      <c r="J13" s="2"/>
      <c r="K13" s="2"/>
      <c r="L13" s="2"/>
      <c r="M13" s="2"/>
      <c r="N13" s="3"/>
    </row>
    <row r="14" spans="1:14" ht="24" x14ac:dyDescent="0.4">
      <c r="A14" s="26">
        <v>1.9</v>
      </c>
      <c r="B14" s="8" t="s">
        <v>51</v>
      </c>
      <c r="C14" s="7" t="s">
        <v>26</v>
      </c>
      <c r="D14" s="7" t="s">
        <v>26</v>
      </c>
      <c r="E14" s="2"/>
      <c r="F14" s="2"/>
      <c r="G14" s="2"/>
      <c r="H14" s="2"/>
      <c r="I14" s="2"/>
      <c r="J14" s="2"/>
      <c r="K14" s="2"/>
      <c r="L14" s="2"/>
      <c r="M14" s="2"/>
      <c r="N14" s="3"/>
    </row>
    <row r="15" spans="1:14" ht="24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</row>
    <row r="16" spans="1:14" ht="24" x14ac:dyDescent="0.4">
      <c r="A16" s="1" t="s">
        <v>27</v>
      </c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3"/>
    </row>
    <row r="17" spans="1:14" ht="24" x14ac:dyDescent="0.4">
      <c r="A17" s="4" t="s">
        <v>12</v>
      </c>
      <c r="B17" s="5"/>
      <c r="C17" s="5" t="s">
        <v>28</v>
      </c>
      <c r="D17" s="5" t="s">
        <v>29</v>
      </c>
      <c r="E17" s="2"/>
      <c r="F17" s="2"/>
      <c r="G17" s="2"/>
      <c r="H17" s="2"/>
      <c r="I17" s="2"/>
      <c r="J17" s="2"/>
      <c r="K17" s="2"/>
      <c r="L17" s="2"/>
      <c r="M17" s="2"/>
      <c r="N17" s="3"/>
    </row>
    <row r="18" spans="1:14" ht="24" x14ac:dyDescent="0.4">
      <c r="A18" s="9">
        <v>2.1</v>
      </c>
      <c r="B18" s="10" t="s">
        <v>53</v>
      </c>
      <c r="C18" s="10"/>
      <c r="D18" s="10"/>
      <c r="E18" s="2"/>
      <c r="F18" s="2"/>
      <c r="G18" s="2"/>
      <c r="H18" s="2"/>
      <c r="I18" s="2"/>
      <c r="J18" s="2"/>
      <c r="K18" s="2"/>
      <c r="L18" s="2"/>
      <c r="M18" s="2"/>
      <c r="N18" s="3"/>
    </row>
    <row r="19" spans="1:14" ht="24" x14ac:dyDescent="0.4">
      <c r="A19" s="23" t="s">
        <v>54</v>
      </c>
      <c r="B19" s="23" t="s">
        <v>55</v>
      </c>
      <c r="C19" s="12"/>
      <c r="D19" s="12"/>
      <c r="E19" s="2"/>
      <c r="F19" s="2"/>
      <c r="G19" s="2"/>
      <c r="H19" s="2"/>
      <c r="I19" s="2"/>
      <c r="J19" s="2"/>
      <c r="K19" s="2"/>
      <c r="L19" s="2"/>
      <c r="M19" s="2"/>
      <c r="N19" s="3"/>
    </row>
    <row r="20" spans="1:14" ht="24" x14ac:dyDescent="0.4">
      <c r="A20" s="6" t="s">
        <v>56</v>
      </c>
      <c r="B20" s="8" t="s">
        <v>57</v>
      </c>
      <c r="C20" s="13">
        <v>10000</v>
      </c>
      <c r="D20" s="14" t="s">
        <v>30</v>
      </c>
      <c r="E20" s="2"/>
      <c r="F20" s="2"/>
      <c r="G20" s="2"/>
      <c r="H20" s="2"/>
      <c r="I20" s="2"/>
      <c r="J20" s="2"/>
      <c r="K20" s="2"/>
      <c r="L20" s="2"/>
      <c r="M20" s="2"/>
      <c r="N20" s="3"/>
    </row>
    <row r="21" spans="1:14" ht="24" x14ac:dyDescent="0.4">
      <c r="A21" s="6" t="s">
        <v>58</v>
      </c>
      <c r="B21" s="8" t="s">
        <v>59</v>
      </c>
      <c r="C21" s="13">
        <v>9000</v>
      </c>
      <c r="D21" s="14" t="s">
        <v>30</v>
      </c>
      <c r="E21" s="2"/>
      <c r="F21" s="2"/>
      <c r="G21" s="2"/>
      <c r="H21" s="2"/>
      <c r="I21" s="2"/>
      <c r="J21" s="2"/>
      <c r="K21" s="2"/>
      <c r="L21" s="2"/>
      <c r="M21" s="2"/>
      <c r="N21" s="3"/>
    </row>
    <row r="22" spans="1:14" ht="24" x14ac:dyDescent="0.4">
      <c r="A22" s="6" t="s">
        <v>60</v>
      </c>
      <c r="B22" s="8" t="s">
        <v>61</v>
      </c>
      <c r="C22" s="13">
        <v>8000</v>
      </c>
      <c r="D22" s="14" t="s">
        <v>30</v>
      </c>
      <c r="E22" s="2"/>
      <c r="F22" s="2"/>
      <c r="G22" s="2"/>
      <c r="H22" s="2"/>
      <c r="I22" s="2"/>
      <c r="J22" s="2"/>
      <c r="K22" s="2"/>
      <c r="L22" s="2"/>
      <c r="M22" s="2"/>
      <c r="N22" s="3"/>
    </row>
    <row r="23" spans="1:14" ht="24" x14ac:dyDescent="0.4">
      <c r="A23" s="11" t="s">
        <v>62</v>
      </c>
      <c r="B23" s="23" t="s">
        <v>63</v>
      </c>
      <c r="C23" s="15"/>
      <c r="D23" s="15"/>
      <c r="E23" s="2"/>
      <c r="F23" s="2"/>
      <c r="G23" s="2"/>
      <c r="H23" s="2"/>
      <c r="I23" s="2"/>
      <c r="J23" s="2"/>
      <c r="K23" s="2"/>
      <c r="L23" s="2"/>
      <c r="M23" s="2"/>
      <c r="N23" s="3"/>
    </row>
    <row r="24" spans="1:14" ht="24" x14ac:dyDescent="0.4">
      <c r="A24" s="6" t="s">
        <v>64</v>
      </c>
      <c r="B24" s="8" t="s">
        <v>57</v>
      </c>
      <c r="C24" s="16">
        <v>3000</v>
      </c>
      <c r="D24" s="16">
        <v>1250</v>
      </c>
      <c r="E24" s="2"/>
      <c r="F24" s="2"/>
      <c r="G24" s="2"/>
      <c r="H24" s="2"/>
      <c r="I24" s="2"/>
      <c r="J24" s="2"/>
      <c r="K24" s="2"/>
      <c r="L24" s="2"/>
      <c r="M24" s="2"/>
      <c r="N24" s="3"/>
    </row>
    <row r="25" spans="1:14" ht="24" x14ac:dyDescent="0.4">
      <c r="A25" s="6" t="s">
        <v>65</v>
      </c>
      <c r="B25" s="8" t="s">
        <v>59</v>
      </c>
      <c r="C25" s="14" t="s">
        <v>31</v>
      </c>
      <c r="D25" s="16">
        <v>1125</v>
      </c>
      <c r="E25" s="2"/>
      <c r="F25" s="2"/>
      <c r="G25" s="2"/>
      <c r="H25" s="2"/>
      <c r="I25" s="2"/>
      <c r="J25" s="2"/>
      <c r="K25" s="2"/>
      <c r="L25" s="2"/>
      <c r="M25" s="2"/>
      <c r="N25" s="3"/>
    </row>
    <row r="26" spans="1:14" ht="24" x14ac:dyDescent="0.4">
      <c r="A26" s="6" t="s">
        <v>66</v>
      </c>
      <c r="B26" s="8" t="s">
        <v>61</v>
      </c>
      <c r="C26" s="16">
        <v>2400</v>
      </c>
      <c r="D26" s="16">
        <v>1000</v>
      </c>
      <c r="E26" s="2"/>
      <c r="F26" s="2"/>
      <c r="G26" s="2"/>
      <c r="H26" s="2"/>
      <c r="I26" s="2"/>
      <c r="J26" s="2"/>
      <c r="K26" s="2"/>
      <c r="L26" s="2"/>
      <c r="M26" s="2"/>
      <c r="N26" s="3"/>
    </row>
    <row r="27" spans="1:14" ht="24" x14ac:dyDescent="0.4">
      <c r="A27" s="11" t="s">
        <v>67</v>
      </c>
      <c r="B27" s="23" t="s">
        <v>68</v>
      </c>
      <c r="C27" s="15"/>
      <c r="D27" s="15"/>
      <c r="E27" s="2"/>
      <c r="F27" s="2"/>
      <c r="G27" s="2"/>
      <c r="H27" s="2"/>
      <c r="I27" s="2"/>
      <c r="J27" s="2"/>
      <c r="K27" s="2"/>
      <c r="L27" s="2"/>
      <c r="M27" s="2"/>
      <c r="N27" s="3"/>
    </row>
    <row r="28" spans="1:14" ht="24" x14ac:dyDescent="0.4">
      <c r="A28" s="6" t="s">
        <v>69</v>
      </c>
      <c r="B28" s="8" t="s">
        <v>57</v>
      </c>
      <c r="C28" s="16">
        <v>2000</v>
      </c>
      <c r="D28" s="16">
        <v>1250</v>
      </c>
      <c r="E28" s="2"/>
      <c r="F28" s="2"/>
      <c r="G28" s="2"/>
      <c r="H28" s="2"/>
      <c r="I28" s="2"/>
      <c r="J28" s="2"/>
      <c r="K28" s="2"/>
      <c r="L28" s="2"/>
      <c r="M28" s="2"/>
      <c r="N28" s="3"/>
    </row>
    <row r="29" spans="1:14" ht="24" x14ac:dyDescent="0.4">
      <c r="A29" s="6" t="s">
        <v>70</v>
      </c>
      <c r="B29" s="8" t="s">
        <v>59</v>
      </c>
      <c r="C29" s="16">
        <v>1800</v>
      </c>
      <c r="D29" s="16">
        <v>1125</v>
      </c>
      <c r="E29" s="2"/>
      <c r="F29" s="2"/>
      <c r="G29" s="2"/>
      <c r="H29" s="2"/>
      <c r="I29" s="2"/>
      <c r="J29" s="2"/>
      <c r="K29" s="2"/>
      <c r="L29" s="2"/>
      <c r="M29" s="2"/>
      <c r="N29" s="3"/>
    </row>
    <row r="30" spans="1:14" ht="24" x14ac:dyDescent="0.4">
      <c r="A30" s="6" t="s">
        <v>71</v>
      </c>
      <c r="B30" s="8" t="s">
        <v>61</v>
      </c>
      <c r="C30" s="16">
        <v>1600</v>
      </c>
      <c r="D30" s="16">
        <v>1000</v>
      </c>
      <c r="E30" s="2"/>
      <c r="F30" s="2"/>
      <c r="G30" s="2"/>
      <c r="H30" s="2"/>
      <c r="I30" s="2"/>
      <c r="J30" s="2"/>
      <c r="K30" s="2"/>
      <c r="L30" s="2"/>
      <c r="M30" s="2"/>
      <c r="N30" s="3"/>
    </row>
    <row r="31" spans="1:14" ht="24" x14ac:dyDescent="0.4">
      <c r="A31" s="11" t="s">
        <v>72</v>
      </c>
      <c r="B31" s="23" t="s">
        <v>73</v>
      </c>
      <c r="C31" s="15"/>
      <c r="D31" s="15"/>
      <c r="E31" s="2"/>
      <c r="F31" s="2"/>
      <c r="G31" s="2"/>
      <c r="H31" s="2"/>
      <c r="I31" s="2"/>
      <c r="J31" s="2"/>
      <c r="K31" s="2"/>
      <c r="L31" s="2"/>
      <c r="M31" s="2"/>
      <c r="N31" s="3"/>
    </row>
    <row r="32" spans="1:14" ht="24" x14ac:dyDescent="0.4">
      <c r="A32" s="6" t="s">
        <v>74</v>
      </c>
      <c r="B32" s="8" t="s">
        <v>57</v>
      </c>
      <c r="C32" s="16">
        <v>1500</v>
      </c>
      <c r="D32" s="16" t="s">
        <v>30</v>
      </c>
      <c r="E32" s="2"/>
      <c r="F32" s="2"/>
      <c r="G32" s="2"/>
      <c r="H32" s="2"/>
      <c r="I32" s="2"/>
      <c r="J32" s="2"/>
      <c r="K32" s="2"/>
      <c r="L32" s="2"/>
      <c r="M32" s="2"/>
      <c r="N32" s="3"/>
    </row>
    <row r="33" spans="1:14" ht="24" x14ac:dyDescent="0.4">
      <c r="A33" s="6" t="s">
        <v>75</v>
      </c>
      <c r="B33" s="8" t="s">
        <v>61</v>
      </c>
      <c r="C33" s="16">
        <v>1200</v>
      </c>
      <c r="D33" s="16" t="s">
        <v>30</v>
      </c>
      <c r="E33" s="2"/>
      <c r="F33" s="2"/>
      <c r="G33" s="2"/>
      <c r="H33" s="2"/>
      <c r="I33" s="2"/>
      <c r="J33" s="2"/>
      <c r="K33" s="2"/>
      <c r="L33" s="2"/>
      <c r="M33" s="2"/>
      <c r="N33" s="3"/>
    </row>
    <row r="34" spans="1:14" ht="24" x14ac:dyDescent="0.4">
      <c r="A34" s="17" t="s">
        <v>76</v>
      </c>
      <c r="B34" s="25" t="s">
        <v>77</v>
      </c>
      <c r="C34" s="15"/>
      <c r="D34" s="15"/>
      <c r="E34" s="2"/>
      <c r="F34" s="2"/>
      <c r="G34" s="2"/>
      <c r="H34" s="2"/>
      <c r="I34" s="2"/>
      <c r="J34" s="2"/>
      <c r="K34" s="2"/>
      <c r="L34" s="2"/>
      <c r="M34" s="2"/>
      <c r="N34" s="3"/>
    </row>
    <row r="35" spans="1:14" ht="24" x14ac:dyDescent="0.4">
      <c r="A35" s="6" t="s">
        <v>78</v>
      </c>
      <c r="B35" s="8" t="s">
        <v>57</v>
      </c>
      <c r="C35" s="16">
        <v>3000</v>
      </c>
      <c r="D35" s="16">
        <v>2000</v>
      </c>
      <c r="E35" s="2"/>
      <c r="F35" s="2"/>
      <c r="G35" s="2"/>
      <c r="H35" s="2"/>
      <c r="I35" s="2"/>
      <c r="J35" s="2"/>
      <c r="K35" s="2"/>
      <c r="L35" s="2"/>
      <c r="M35" s="2"/>
      <c r="N35" s="3"/>
    </row>
    <row r="36" spans="1:14" ht="24" x14ac:dyDescent="0.4">
      <c r="A36" s="6" t="s">
        <v>79</v>
      </c>
      <c r="B36" s="8" t="s">
        <v>59</v>
      </c>
      <c r="C36" s="16" t="s">
        <v>31</v>
      </c>
      <c r="D36" s="16">
        <v>1800</v>
      </c>
      <c r="E36" s="2"/>
      <c r="F36" s="2"/>
      <c r="G36" s="2"/>
      <c r="H36" s="2"/>
      <c r="I36" s="2"/>
      <c r="J36" s="2"/>
      <c r="K36" s="2"/>
      <c r="L36" s="2"/>
      <c r="M36" s="2"/>
      <c r="N36" s="3"/>
    </row>
    <row r="37" spans="1:14" ht="24" x14ac:dyDescent="0.4">
      <c r="A37" s="6" t="s">
        <v>80</v>
      </c>
      <c r="B37" s="8" t="s">
        <v>61</v>
      </c>
      <c r="C37" s="16">
        <v>2400</v>
      </c>
      <c r="D37" s="16">
        <v>1600</v>
      </c>
      <c r="E37" s="2"/>
      <c r="F37" s="2"/>
      <c r="G37" s="2"/>
      <c r="H37" s="2"/>
      <c r="I37" s="2"/>
      <c r="J37" s="2"/>
      <c r="K37" s="2"/>
      <c r="L37" s="2"/>
      <c r="M37" s="2"/>
      <c r="N37" s="3"/>
    </row>
    <row r="38" spans="1:14" ht="24" x14ac:dyDescent="0.4">
      <c r="A38" s="11" t="s">
        <v>81</v>
      </c>
      <c r="B38" s="23" t="s">
        <v>95</v>
      </c>
      <c r="C38" s="15"/>
      <c r="D38" s="15"/>
      <c r="E38" s="2"/>
      <c r="F38" s="2"/>
      <c r="G38" s="2"/>
      <c r="H38" s="2"/>
      <c r="I38" s="2"/>
      <c r="J38" s="2"/>
      <c r="K38" s="2"/>
      <c r="L38" s="2"/>
      <c r="M38" s="2"/>
      <c r="N38" s="3"/>
    </row>
    <row r="39" spans="1:14" ht="24" x14ac:dyDescent="0.4">
      <c r="A39" s="6" t="s">
        <v>82</v>
      </c>
      <c r="B39" s="8" t="s">
        <v>57</v>
      </c>
      <c r="C39" s="18">
        <v>1000</v>
      </c>
      <c r="D39" s="16" t="s">
        <v>30</v>
      </c>
      <c r="E39" s="2"/>
      <c r="F39" s="2"/>
      <c r="G39" s="2"/>
      <c r="H39" s="2"/>
      <c r="I39" s="2"/>
      <c r="J39" s="2"/>
      <c r="K39" s="2"/>
      <c r="L39" s="2"/>
      <c r="M39" s="2"/>
      <c r="N39" s="3"/>
    </row>
    <row r="40" spans="1:14" ht="24" x14ac:dyDescent="0.4">
      <c r="A40" s="6" t="s">
        <v>83</v>
      </c>
      <c r="B40" s="8" t="s">
        <v>59</v>
      </c>
      <c r="C40" s="16">
        <v>1000</v>
      </c>
      <c r="D40" s="16" t="s">
        <v>30</v>
      </c>
      <c r="E40" s="2"/>
      <c r="F40" s="2"/>
      <c r="G40" s="2"/>
      <c r="H40" s="2"/>
      <c r="I40" s="2"/>
      <c r="J40" s="2"/>
      <c r="K40" s="2"/>
      <c r="L40" s="2"/>
      <c r="M40" s="2"/>
      <c r="N40" s="3"/>
    </row>
    <row r="41" spans="1:14" ht="24" x14ac:dyDescent="0.4">
      <c r="A41" s="6" t="s">
        <v>84</v>
      </c>
      <c r="B41" s="8" t="s">
        <v>61</v>
      </c>
      <c r="C41" s="16">
        <v>1000</v>
      </c>
      <c r="D41" s="16" t="s">
        <v>30</v>
      </c>
      <c r="E41" s="2"/>
      <c r="F41" s="2"/>
      <c r="G41" s="2"/>
      <c r="H41" s="2"/>
      <c r="I41" s="2"/>
      <c r="J41" s="2"/>
      <c r="K41" s="2"/>
      <c r="L41" s="2"/>
      <c r="M41" s="2"/>
      <c r="N41" s="3"/>
    </row>
    <row r="42" spans="1:14" ht="24" x14ac:dyDescent="0.4">
      <c r="A42" s="17" t="s">
        <v>85</v>
      </c>
      <c r="B42" s="25" t="s">
        <v>96</v>
      </c>
      <c r="C42" s="15"/>
      <c r="D42" s="15"/>
      <c r="E42" s="2"/>
      <c r="F42" s="2"/>
      <c r="G42" s="2"/>
      <c r="H42" s="2"/>
      <c r="I42" s="2"/>
      <c r="J42" s="2"/>
      <c r="K42" s="2"/>
      <c r="L42" s="2"/>
      <c r="M42" s="2"/>
      <c r="N42" s="3"/>
    </row>
    <row r="43" spans="1:14" ht="24" x14ac:dyDescent="0.4">
      <c r="A43" s="6" t="s">
        <v>86</v>
      </c>
      <c r="B43" s="8" t="s">
        <v>57</v>
      </c>
      <c r="C43" s="7" t="s">
        <v>32</v>
      </c>
      <c r="D43" s="14" t="s">
        <v>30</v>
      </c>
      <c r="E43" s="2"/>
      <c r="F43" s="2"/>
      <c r="G43" s="2"/>
      <c r="H43" s="2"/>
      <c r="I43" s="2"/>
      <c r="J43" s="2"/>
      <c r="K43" s="2"/>
      <c r="L43" s="2"/>
      <c r="M43" s="2"/>
      <c r="N43" s="3"/>
    </row>
    <row r="44" spans="1:14" ht="24" x14ac:dyDescent="0.4">
      <c r="A44" s="6" t="s">
        <v>87</v>
      </c>
      <c r="B44" s="8" t="s">
        <v>59</v>
      </c>
      <c r="C44" s="7" t="s">
        <v>32</v>
      </c>
      <c r="D44" s="14" t="s">
        <v>30</v>
      </c>
      <c r="E44" s="2"/>
      <c r="F44" s="2"/>
      <c r="G44" s="2"/>
      <c r="H44" s="2"/>
      <c r="I44" s="2"/>
      <c r="J44" s="2"/>
      <c r="K44" s="2"/>
      <c r="L44" s="2"/>
      <c r="M44" s="2"/>
      <c r="N44" s="3"/>
    </row>
    <row r="45" spans="1:14" ht="24" x14ac:dyDescent="0.4">
      <c r="A45" s="6" t="s">
        <v>88</v>
      </c>
      <c r="B45" s="8" t="s">
        <v>61</v>
      </c>
      <c r="C45" s="7" t="s">
        <v>32</v>
      </c>
      <c r="D45" s="14" t="s">
        <v>30</v>
      </c>
      <c r="E45" s="2"/>
      <c r="F45" s="2"/>
      <c r="G45" s="2"/>
      <c r="H45" s="2"/>
      <c r="I45" s="2"/>
      <c r="J45" s="2"/>
      <c r="K45" s="2"/>
      <c r="L45" s="2"/>
      <c r="M45" s="2"/>
      <c r="N45" s="3"/>
    </row>
    <row r="46" spans="1:14" ht="24" x14ac:dyDescent="0.4">
      <c r="A46" s="11" t="s">
        <v>89</v>
      </c>
      <c r="B46" s="23" t="s">
        <v>90</v>
      </c>
      <c r="C46" s="15"/>
      <c r="D46" s="15"/>
      <c r="E46" s="2"/>
      <c r="F46" s="2"/>
      <c r="G46" s="2"/>
      <c r="H46" s="2"/>
      <c r="I46" s="2"/>
      <c r="J46" s="2"/>
      <c r="K46" s="2"/>
      <c r="L46" s="2"/>
      <c r="M46" s="2"/>
      <c r="N46" s="3"/>
    </row>
    <row r="47" spans="1:14" ht="24" x14ac:dyDescent="0.4">
      <c r="A47" s="6" t="s">
        <v>91</v>
      </c>
      <c r="B47" s="8" t="s">
        <v>57</v>
      </c>
      <c r="C47" s="7" t="s">
        <v>24</v>
      </c>
      <c r="D47" s="7" t="s">
        <v>24</v>
      </c>
      <c r="E47" s="2"/>
      <c r="F47" s="2"/>
      <c r="G47" s="2"/>
      <c r="H47" s="2"/>
      <c r="I47" s="2"/>
      <c r="J47" s="2"/>
      <c r="K47" s="2"/>
      <c r="L47" s="2"/>
      <c r="M47" s="2"/>
      <c r="N47" s="3"/>
    </row>
    <row r="48" spans="1:14" ht="24" x14ac:dyDescent="0.4">
      <c r="A48" s="6" t="s">
        <v>92</v>
      </c>
      <c r="B48" s="8" t="s">
        <v>59</v>
      </c>
      <c r="C48" s="7" t="s">
        <v>24</v>
      </c>
      <c r="D48" s="7" t="s">
        <v>24</v>
      </c>
      <c r="E48" s="2"/>
      <c r="F48" s="2"/>
      <c r="G48" s="2"/>
      <c r="H48" s="2"/>
      <c r="I48" s="2"/>
      <c r="J48" s="2"/>
      <c r="K48" s="2"/>
      <c r="L48" s="2"/>
      <c r="M48" s="2"/>
      <c r="N48" s="3"/>
    </row>
    <row r="49" spans="1:14" ht="24" x14ac:dyDescent="0.4">
      <c r="A49" s="6" t="s">
        <v>93</v>
      </c>
      <c r="B49" s="8" t="s">
        <v>61</v>
      </c>
      <c r="C49" s="7" t="s">
        <v>24</v>
      </c>
      <c r="D49" s="7" t="s">
        <v>24</v>
      </c>
      <c r="E49" s="2"/>
      <c r="F49" s="2"/>
      <c r="G49" s="2"/>
      <c r="H49" s="2"/>
      <c r="I49" s="2"/>
      <c r="J49" s="2"/>
      <c r="K49" s="2"/>
      <c r="L49" s="2"/>
      <c r="M49" s="2"/>
      <c r="N49" s="3"/>
    </row>
    <row r="50" spans="1:14" ht="24" x14ac:dyDescent="0.4">
      <c r="A50" s="11">
        <v>2.2000000000000002</v>
      </c>
      <c r="B50" s="23" t="s">
        <v>94</v>
      </c>
      <c r="C50" s="15" t="s">
        <v>24</v>
      </c>
      <c r="D50" s="15" t="s">
        <v>24</v>
      </c>
      <c r="E50" s="2"/>
      <c r="F50" s="2"/>
      <c r="G50" s="2"/>
      <c r="H50" s="2"/>
      <c r="I50" s="2"/>
      <c r="J50" s="2"/>
      <c r="K50" s="2"/>
      <c r="L50" s="2"/>
      <c r="M50" s="2"/>
      <c r="N50" s="3"/>
    </row>
    <row r="51" spans="1:14" ht="24" x14ac:dyDescent="0.4">
      <c r="A51" s="11"/>
      <c r="B51" s="23"/>
      <c r="C51" s="19" t="s">
        <v>7</v>
      </c>
      <c r="D51" s="19" t="s">
        <v>8</v>
      </c>
      <c r="E51" s="2"/>
      <c r="F51" s="2"/>
      <c r="G51" s="2"/>
      <c r="H51" s="2"/>
      <c r="I51" s="2"/>
      <c r="J51" s="2"/>
      <c r="K51" s="2"/>
      <c r="L51" s="2"/>
      <c r="M51" s="2"/>
      <c r="N51" s="3"/>
    </row>
    <row r="52" spans="1:14" ht="24" x14ac:dyDescent="0.4">
      <c r="A52" s="11">
        <v>2.2999999999999998</v>
      </c>
      <c r="B52" s="23" t="s">
        <v>43</v>
      </c>
      <c r="C52" s="15" t="s">
        <v>33</v>
      </c>
      <c r="D52" s="15" t="s">
        <v>34</v>
      </c>
      <c r="E52" s="2"/>
      <c r="F52" s="2"/>
      <c r="G52" s="2"/>
      <c r="H52" s="2"/>
      <c r="I52" s="2"/>
      <c r="J52" s="2"/>
      <c r="K52" s="2"/>
      <c r="L52" s="2"/>
      <c r="M52" s="2"/>
      <c r="N52" s="3"/>
    </row>
    <row r="53" spans="1:14" ht="24" x14ac:dyDescent="0.4">
      <c r="A53" s="11">
        <v>2.4</v>
      </c>
      <c r="B53" s="23" t="s">
        <v>97</v>
      </c>
      <c r="C53" s="20" t="s">
        <v>31</v>
      </c>
      <c r="D53" s="15" t="s">
        <v>35</v>
      </c>
      <c r="E53" s="2"/>
      <c r="F53" s="2"/>
      <c r="G53" s="2"/>
      <c r="H53" s="2"/>
      <c r="I53" s="2"/>
      <c r="J53" s="2"/>
      <c r="K53" s="2"/>
      <c r="L53" s="2"/>
      <c r="M53" s="2"/>
      <c r="N53" s="3"/>
    </row>
    <row r="54" spans="1:14" ht="24" x14ac:dyDescent="0.4">
      <c r="A54" s="11">
        <v>2.5</v>
      </c>
      <c r="B54" s="23" t="s">
        <v>48</v>
      </c>
      <c r="C54" s="20" t="s">
        <v>36</v>
      </c>
      <c r="D54" s="20" t="s">
        <v>36</v>
      </c>
      <c r="E54" s="2"/>
      <c r="F54" s="2"/>
      <c r="G54" s="2"/>
      <c r="H54" s="2"/>
      <c r="I54" s="2"/>
      <c r="J54" s="2"/>
      <c r="K54" s="2"/>
      <c r="L54" s="2"/>
      <c r="M54" s="2"/>
      <c r="N54" s="3"/>
    </row>
    <row r="55" spans="1:14" ht="24" x14ac:dyDescent="0.4">
      <c r="A55" s="11">
        <v>2.6</v>
      </c>
      <c r="B55" s="23" t="s">
        <v>49</v>
      </c>
      <c r="C55" s="20" t="s">
        <v>36</v>
      </c>
      <c r="D55" s="20" t="s">
        <v>36</v>
      </c>
      <c r="E55" s="2"/>
      <c r="F55" s="2"/>
      <c r="G55" s="2"/>
      <c r="H55" s="2"/>
      <c r="I55" s="2"/>
      <c r="J55" s="2"/>
      <c r="K55" s="2"/>
      <c r="L55" s="2"/>
      <c r="M55" s="2"/>
      <c r="N55" s="3"/>
    </row>
    <row r="56" spans="1:14" ht="24" x14ac:dyDescent="0.4">
      <c r="A56" s="11">
        <v>2.7</v>
      </c>
      <c r="B56" s="23" t="s">
        <v>98</v>
      </c>
      <c r="C56" s="20" t="s">
        <v>36</v>
      </c>
      <c r="D56" s="20" t="s">
        <v>36</v>
      </c>
      <c r="E56" s="2"/>
      <c r="F56" s="2"/>
      <c r="G56" s="2"/>
      <c r="H56" s="2" t="s">
        <v>37</v>
      </c>
      <c r="I56" s="2"/>
      <c r="J56" s="2"/>
      <c r="K56" s="2"/>
      <c r="L56" s="2"/>
      <c r="M56" s="2"/>
      <c r="N56" s="3"/>
    </row>
    <row r="57" spans="1:14" ht="24" x14ac:dyDescent="0.4">
      <c r="A57" s="11">
        <v>2.8</v>
      </c>
      <c r="B57" s="23" t="s">
        <v>48</v>
      </c>
      <c r="C57" s="20" t="s">
        <v>36</v>
      </c>
      <c r="D57" s="20" t="s">
        <v>36</v>
      </c>
      <c r="E57" s="2"/>
      <c r="F57" s="2"/>
      <c r="G57" s="2"/>
      <c r="H57" s="2"/>
      <c r="I57" s="2"/>
      <c r="J57" s="2"/>
      <c r="K57" s="2"/>
      <c r="L57" s="2"/>
      <c r="M57" s="2"/>
      <c r="N57" s="3"/>
    </row>
    <row r="58" spans="1:14" ht="24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3"/>
    </row>
    <row r="59" spans="1:14" ht="24" x14ac:dyDescent="0.4">
      <c r="A59" s="1" t="s">
        <v>38</v>
      </c>
      <c r="B59" s="1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3"/>
    </row>
    <row r="60" spans="1:14" ht="24" x14ac:dyDescent="0.4">
      <c r="A60" s="21" t="s">
        <v>12</v>
      </c>
      <c r="B60" s="22"/>
      <c r="C60" s="22" t="s">
        <v>39</v>
      </c>
      <c r="D60" s="22" t="s">
        <v>40</v>
      </c>
      <c r="E60" s="2"/>
      <c r="F60" s="2"/>
      <c r="G60" s="2"/>
      <c r="H60" s="2"/>
      <c r="I60" s="2"/>
      <c r="J60" s="2"/>
      <c r="K60" s="2"/>
      <c r="L60" s="2"/>
      <c r="M60" s="2"/>
      <c r="N60" s="3"/>
    </row>
    <row r="61" spans="1:14" ht="24" x14ac:dyDescent="0.4">
      <c r="A61" s="11">
        <v>3.1</v>
      </c>
      <c r="B61" s="23" t="s">
        <v>131</v>
      </c>
      <c r="C61" s="23"/>
      <c r="D61" s="23"/>
      <c r="E61" s="2"/>
      <c r="F61" s="2"/>
      <c r="G61" s="2"/>
      <c r="H61" s="2"/>
      <c r="I61" s="2"/>
      <c r="J61" s="2"/>
      <c r="K61" s="2"/>
      <c r="L61" s="2"/>
      <c r="M61" s="2"/>
      <c r="N61" s="3"/>
    </row>
    <row r="62" spans="1:14" ht="24" x14ac:dyDescent="0.4">
      <c r="A62" s="8" t="s">
        <v>99</v>
      </c>
      <c r="B62" s="8" t="s">
        <v>132</v>
      </c>
      <c r="C62" s="16">
        <v>270</v>
      </c>
      <c r="D62" s="16">
        <v>3100</v>
      </c>
      <c r="E62" s="2"/>
      <c r="F62" s="2"/>
      <c r="G62" s="2"/>
      <c r="H62" s="2"/>
      <c r="I62" s="2"/>
      <c r="J62" s="2"/>
      <c r="K62" s="2"/>
      <c r="L62" s="2"/>
      <c r="M62" s="2"/>
      <c r="N62" s="3"/>
    </row>
    <row r="63" spans="1:14" ht="24" x14ac:dyDescent="0.4">
      <c r="A63" s="8" t="s">
        <v>100</v>
      </c>
      <c r="B63" s="8" t="s">
        <v>133</v>
      </c>
      <c r="C63" s="16">
        <v>240</v>
      </c>
      <c r="D63" s="16">
        <v>2100</v>
      </c>
      <c r="E63" s="2"/>
      <c r="F63" s="2"/>
      <c r="G63" s="2" t="s">
        <v>37</v>
      </c>
      <c r="H63" s="2"/>
      <c r="I63" s="2"/>
      <c r="J63" s="2"/>
      <c r="K63" s="2"/>
      <c r="L63" s="2"/>
      <c r="M63" s="2"/>
      <c r="N63" s="3"/>
    </row>
    <row r="64" spans="1:14" ht="24" x14ac:dyDescent="0.4">
      <c r="A64" s="11">
        <v>3.2</v>
      </c>
      <c r="B64" s="23" t="s">
        <v>134</v>
      </c>
      <c r="C64" s="23"/>
      <c r="D64" s="23"/>
      <c r="E64" s="2"/>
      <c r="F64" s="2"/>
      <c r="G64" s="2"/>
      <c r="H64" s="2"/>
      <c r="I64" s="2"/>
      <c r="J64" s="2"/>
      <c r="K64" s="2"/>
      <c r="L64" s="2"/>
      <c r="M64" s="2"/>
      <c r="N64" s="3"/>
    </row>
    <row r="65" spans="1:14" ht="24" x14ac:dyDescent="0.4">
      <c r="A65" s="8" t="s">
        <v>101</v>
      </c>
      <c r="B65" s="8" t="s">
        <v>135</v>
      </c>
      <c r="C65" s="7" t="s">
        <v>41</v>
      </c>
      <c r="D65" s="7" t="s">
        <v>42</v>
      </c>
      <c r="E65" s="2"/>
      <c r="F65" s="2"/>
      <c r="G65" s="2"/>
      <c r="H65" s="2"/>
      <c r="I65" s="2"/>
      <c r="J65" s="2"/>
      <c r="K65" s="2"/>
      <c r="L65" s="2"/>
      <c r="M65" s="2"/>
      <c r="N65" s="3"/>
    </row>
    <row r="66" spans="1:14" ht="24" x14ac:dyDescent="0.4">
      <c r="A66" s="8" t="s">
        <v>102</v>
      </c>
      <c r="B66" s="8" t="s">
        <v>136</v>
      </c>
      <c r="C66" s="7" t="s">
        <v>24</v>
      </c>
      <c r="D66" s="7" t="s">
        <v>24</v>
      </c>
      <c r="E66" s="2"/>
      <c r="F66" s="2"/>
      <c r="G66" s="2"/>
      <c r="H66" s="2"/>
      <c r="I66" s="2"/>
      <c r="J66" s="2"/>
      <c r="K66" s="2"/>
      <c r="L66" s="2"/>
      <c r="M66" s="2"/>
      <c r="N66" s="3"/>
    </row>
    <row r="67" spans="1:14" ht="24" x14ac:dyDescent="0.4">
      <c r="A67" s="8" t="s">
        <v>103</v>
      </c>
      <c r="B67" s="8" t="s">
        <v>137</v>
      </c>
      <c r="C67" s="7" t="s">
        <v>24</v>
      </c>
      <c r="D67" s="7">
        <v>400</v>
      </c>
      <c r="E67" s="2"/>
      <c r="F67" s="2"/>
      <c r="G67" s="2"/>
      <c r="H67" s="2"/>
      <c r="I67" s="2"/>
      <c r="J67" s="2"/>
      <c r="K67" s="2"/>
      <c r="L67" s="2"/>
      <c r="M67" s="2"/>
      <c r="N67" s="3"/>
    </row>
    <row r="68" spans="1:14" ht="24" x14ac:dyDescent="0.4">
      <c r="A68" s="6" t="s">
        <v>104</v>
      </c>
      <c r="B68" s="8" t="s">
        <v>138</v>
      </c>
      <c r="C68" s="7" t="s">
        <v>24</v>
      </c>
      <c r="D68" s="7" t="s">
        <v>24</v>
      </c>
      <c r="E68" s="2"/>
      <c r="F68" s="2"/>
      <c r="G68" s="2"/>
      <c r="H68" s="2"/>
      <c r="I68" s="2"/>
      <c r="J68" s="2"/>
      <c r="K68" s="2"/>
      <c r="L68" s="2"/>
      <c r="M68" s="2"/>
      <c r="N68" s="3"/>
    </row>
    <row r="69" spans="1:14" ht="24" x14ac:dyDescent="0.4">
      <c r="A69" s="6" t="s">
        <v>105</v>
      </c>
      <c r="B69" s="8" t="s">
        <v>139</v>
      </c>
      <c r="C69" s="7" t="s">
        <v>24</v>
      </c>
      <c r="D69" s="7" t="s">
        <v>24</v>
      </c>
      <c r="E69" s="2"/>
      <c r="F69" s="2"/>
      <c r="G69" s="2"/>
      <c r="H69" s="2"/>
      <c r="I69" s="2"/>
      <c r="J69" s="2"/>
      <c r="K69" s="2"/>
      <c r="L69" s="2"/>
      <c r="M69" s="2"/>
      <c r="N69" s="3"/>
    </row>
    <row r="70" spans="1:14" ht="24" x14ac:dyDescent="0.4">
      <c r="A70" s="11">
        <v>3.3</v>
      </c>
      <c r="B70" s="23" t="s">
        <v>140</v>
      </c>
      <c r="C70" s="15" t="s">
        <v>24</v>
      </c>
      <c r="D70" s="15" t="s">
        <v>24</v>
      </c>
      <c r="E70" s="2"/>
      <c r="F70" s="2"/>
      <c r="G70" s="2"/>
      <c r="H70" s="2"/>
      <c r="I70" s="2"/>
      <c r="J70" s="2"/>
      <c r="K70" s="2"/>
      <c r="L70" s="2"/>
      <c r="M70" s="2"/>
      <c r="N70" s="3"/>
    </row>
    <row r="71" spans="1:14" ht="24" x14ac:dyDescent="0.4">
      <c r="A71" s="11">
        <v>3.4</v>
      </c>
      <c r="B71" s="23" t="s">
        <v>141</v>
      </c>
      <c r="C71" s="23"/>
      <c r="D71" s="23"/>
      <c r="E71" s="2"/>
      <c r="F71" s="2"/>
      <c r="G71" s="2"/>
      <c r="H71" s="2"/>
      <c r="I71" s="2"/>
      <c r="J71" s="2"/>
      <c r="K71" s="2"/>
      <c r="L71" s="2"/>
      <c r="M71" s="2"/>
      <c r="N71" s="3"/>
    </row>
    <row r="72" spans="1:14" ht="24" x14ac:dyDescent="0.4">
      <c r="A72" s="6" t="s">
        <v>106</v>
      </c>
      <c r="B72" s="8" t="s">
        <v>132</v>
      </c>
      <c r="C72" s="8"/>
      <c r="D72" s="8"/>
      <c r="E72" s="2"/>
      <c r="F72" s="2"/>
      <c r="G72" s="2"/>
      <c r="H72" s="2"/>
      <c r="I72" s="2"/>
      <c r="J72" s="2"/>
      <c r="K72" s="2"/>
      <c r="L72" s="2"/>
      <c r="M72" s="2"/>
      <c r="N72" s="3"/>
    </row>
    <row r="73" spans="1:14" ht="24" x14ac:dyDescent="0.4">
      <c r="A73" s="8" t="s">
        <v>107</v>
      </c>
      <c r="B73" s="8" t="s">
        <v>142</v>
      </c>
      <c r="C73" s="24">
        <v>2500</v>
      </c>
      <c r="D73" s="8"/>
      <c r="E73" s="2"/>
      <c r="F73" s="2"/>
      <c r="G73" s="2"/>
      <c r="H73" s="2"/>
      <c r="I73" s="2"/>
      <c r="J73" s="2"/>
      <c r="K73" s="2"/>
      <c r="L73" s="2"/>
      <c r="M73" s="2"/>
      <c r="N73" s="3"/>
    </row>
    <row r="74" spans="1:14" ht="24" x14ac:dyDescent="0.4">
      <c r="A74" s="8" t="s">
        <v>108</v>
      </c>
      <c r="B74" s="8" t="s">
        <v>143</v>
      </c>
      <c r="C74" s="24">
        <v>1200</v>
      </c>
      <c r="D74" s="8"/>
      <c r="E74" s="2"/>
      <c r="F74" s="2"/>
      <c r="G74" s="2"/>
      <c r="H74" s="2"/>
      <c r="I74" s="2"/>
      <c r="J74" s="2"/>
      <c r="K74" s="2"/>
      <c r="L74" s="2"/>
      <c r="M74" s="2"/>
      <c r="N74" s="3"/>
    </row>
    <row r="75" spans="1:14" ht="24" x14ac:dyDescent="0.4">
      <c r="A75" s="8" t="s">
        <v>109</v>
      </c>
      <c r="B75" s="8" t="s">
        <v>144</v>
      </c>
      <c r="C75" s="24">
        <v>1200</v>
      </c>
      <c r="D75" s="8"/>
      <c r="E75" s="2"/>
      <c r="F75" s="2"/>
      <c r="G75" s="2"/>
      <c r="H75" s="2"/>
      <c r="I75" s="2"/>
      <c r="J75" s="2"/>
      <c r="K75" s="2"/>
      <c r="L75" s="2"/>
      <c r="M75" s="2"/>
      <c r="N75" s="3"/>
    </row>
    <row r="76" spans="1:14" ht="24" x14ac:dyDescent="0.4">
      <c r="A76" s="8" t="s">
        <v>110</v>
      </c>
      <c r="B76" s="8" t="s">
        <v>145</v>
      </c>
      <c r="C76" s="24"/>
      <c r="D76" s="24">
        <v>10000</v>
      </c>
      <c r="E76" s="2"/>
      <c r="F76" s="2"/>
      <c r="G76" s="2"/>
      <c r="H76" s="2"/>
      <c r="I76" s="2"/>
      <c r="J76" s="2"/>
      <c r="K76" s="2"/>
      <c r="L76" s="2"/>
      <c r="M76" s="2"/>
      <c r="N76" s="3"/>
    </row>
    <row r="77" spans="1:14" ht="24" x14ac:dyDescent="0.4">
      <c r="A77" s="8" t="s">
        <v>111</v>
      </c>
      <c r="B77" s="8" t="s">
        <v>146</v>
      </c>
      <c r="C77" s="24"/>
      <c r="D77" s="24">
        <v>7000</v>
      </c>
      <c r="E77" s="2"/>
      <c r="F77" s="2"/>
      <c r="G77" s="2"/>
      <c r="H77" s="2"/>
      <c r="I77" s="2"/>
      <c r="J77" s="2"/>
      <c r="K77" s="2"/>
      <c r="L77" s="2"/>
      <c r="M77" s="2"/>
      <c r="N77" s="3"/>
    </row>
    <row r="78" spans="1:14" ht="24" x14ac:dyDescent="0.4">
      <c r="A78" s="8" t="s">
        <v>112</v>
      </c>
      <c r="B78" s="8" t="s">
        <v>147</v>
      </c>
      <c r="C78" s="24"/>
      <c r="D78" s="24">
        <v>4500</v>
      </c>
      <c r="E78" s="2"/>
      <c r="F78" s="2"/>
      <c r="G78" s="2"/>
      <c r="H78" s="2"/>
      <c r="I78" s="2"/>
      <c r="J78" s="2"/>
      <c r="K78" s="2"/>
      <c r="L78" s="2"/>
      <c r="M78" s="2"/>
      <c r="N78" s="3"/>
    </row>
    <row r="79" spans="1:14" ht="24" x14ac:dyDescent="0.4">
      <c r="A79" s="8" t="s">
        <v>113</v>
      </c>
      <c r="B79" s="8" t="s">
        <v>148</v>
      </c>
      <c r="C79" s="24"/>
      <c r="D79" s="24">
        <v>14000</v>
      </c>
      <c r="E79" s="2"/>
      <c r="F79" s="2"/>
      <c r="G79" s="2"/>
      <c r="H79" s="2"/>
      <c r="I79" s="2"/>
      <c r="J79" s="2"/>
      <c r="K79" s="2"/>
      <c r="L79" s="2"/>
      <c r="M79" s="2"/>
      <c r="N79" s="3"/>
    </row>
    <row r="80" spans="1:14" ht="24" x14ac:dyDescent="0.4">
      <c r="A80" s="8" t="s">
        <v>114</v>
      </c>
      <c r="B80" s="8" t="s">
        <v>149</v>
      </c>
      <c r="C80" s="24"/>
      <c r="D80" s="24">
        <v>12500</v>
      </c>
      <c r="E80" s="2"/>
      <c r="F80" s="2"/>
      <c r="G80" s="2"/>
      <c r="H80" s="2"/>
      <c r="I80" s="2"/>
      <c r="J80" s="2"/>
      <c r="K80" s="2"/>
      <c r="L80" s="2"/>
      <c r="M80" s="2"/>
      <c r="N80" s="3"/>
    </row>
    <row r="81" spans="1:14" ht="24" x14ac:dyDescent="0.4">
      <c r="A81" s="6" t="s">
        <v>115</v>
      </c>
      <c r="B81" s="8" t="s">
        <v>133</v>
      </c>
      <c r="C81" s="24"/>
      <c r="D81" s="8"/>
      <c r="E81" s="2"/>
      <c r="F81" s="2"/>
      <c r="G81" s="2"/>
      <c r="H81" s="2"/>
      <c r="I81" s="2"/>
      <c r="J81" s="2"/>
      <c r="K81" s="2"/>
      <c r="L81" s="2"/>
      <c r="M81" s="2"/>
      <c r="N81" s="3"/>
    </row>
    <row r="82" spans="1:14" ht="24" x14ac:dyDescent="0.4">
      <c r="A82" s="8" t="s">
        <v>116</v>
      </c>
      <c r="B82" s="8" t="s">
        <v>142</v>
      </c>
      <c r="C82" s="24">
        <v>1500</v>
      </c>
      <c r="D82" s="8"/>
      <c r="E82" s="2"/>
      <c r="F82" s="2"/>
      <c r="G82" s="2"/>
      <c r="H82" s="2"/>
      <c r="I82" s="2"/>
      <c r="J82" s="2"/>
      <c r="K82" s="2"/>
      <c r="L82" s="2"/>
      <c r="M82" s="2"/>
      <c r="N82" s="3"/>
    </row>
    <row r="83" spans="1:14" ht="24" x14ac:dyDescent="0.4">
      <c r="A83" s="8" t="s">
        <v>117</v>
      </c>
      <c r="B83" s="8" t="s">
        <v>143</v>
      </c>
      <c r="C83" s="24">
        <v>850</v>
      </c>
      <c r="D83" s="8"/>
      <c r="E83" s="2"/>
      <c r="F83" s="2"/>
      <c r="G83" s="2"/>
      <c r="H83" s="2"/>
      <c r="I83" s="2"/>
      <c r="J83" s="2"/>
      <c r="K83" s="2"/>
      <c r="L83" s="2"/>
      <c r="M83" s="2"/>
      <c r="N83" s="3"/>
    </row>
    <row r="84" spans="1:14" ht="24" x14ac:dyDescent="0.4">
      <c r="A84" s="8" t="s">
        <v>118</v>
      </c>
      <c r="B84" s="8" t="s">
        <v>144</v>
      </c>
      <c r="C84" s="24">
        <v>800</v>
      </c>
      <c r="D84" s="8"/>
      <c r="E84" s="2"/>
      <c r="F84" s="2"/>
      <c r="G84" s="2"/>
      <c r="H84" s="2"/>
      <c r="I84" s="2"/>
      <c r="J84" s="2"/>
      <c r="K84" s="2"/>
      <c r="L84" s="2"/>
      <c r="M84" s="2"/>
      <c r="N84" s="3"/>
    </row>
    <row r="85" spans="1:14" ht="24" x14ac:dyDescent="0.4">
      <c r="A85" s="8" t="s">
        <v>119</v>
      </c>
      <c r="B85" s="8" t="s">
        <v>145</v>
      </c>
      <c r="C85" s="8"/>
      <c r="D85" s="24">
        <v>7500</v>
      </c>
      <c r="E85" s="2"/>
      <c r="F85" s="2"/>
      <c r="G85" s="2"/>
      <c r="H85" s="2"/>
      <c r="I85" s="2"/>
      <c r="J85" s="2"/>
      <c r="K85" s="2"/>
      <c r="L85" s="2"/>
      <c r="M85" s="2"/>
      <c r="N85" s="3"/>
    </row>
    <row r="86" spans="1:14" ht="24" x14ac:dyDescent="0.4">
      <c r="A86" s="8" t="s">
        <v>120</v>
      </c>
      <c r="B86" s="8" t="s">
        <v>150</v>
      </c>
      <c r="C86" s="8"/>
      <c r="D86" s="24">
        <v>5250</v>
      </c>
      <c r="E86" s="2"/>
      <c r="F86" s="2"/>
      <c r="G86" s="2"/>
      <c r="H86" s="2"/>
      <c r="I86" s="2"/>
      <c r="J86" s="2"/>
      <c r="K86" s="2"/>
      <c r="L86" s="2"/>
      <c r="M86" s="2"/>
      <c r="N86" s="3"/>
    </row>
    <row r="87" spans="1:14" ht="24" x14ac:dyDescent="0.4">
      <c r="A87" s="8" t="s">
        <v>121</v>
      </c>
      <c r="B87" s="8" t="s">
        <v>146</v>
      </c>
      <c r="C87" s="8"/>
      <c r="D87" s="24">
        <v>5000</v>
      </c>
      <c r="E87" s="2"/>
      <c r="F87" s="2"/>
      <c r="G87" s="2"/>
      <c r="H87" s="2"/>
      <c r="I87" s="2"/>
      <c r="J87" s="2"/>
      <c r="K87" s="2"/>
      <c r="L87" s="2"/>
      <c r="M87" s="2"/>
      <c r="N87" s="3"/>
    </row>
    <row r="88" spans="1:14" ht="24" x14ac:dyDescent="0.4">
      <c r="A88" s="8" t="s">
        <v>122</v>
      </c>
      <c r="B88" s="8" t="s">
        <v>151</v>
      </c>
      <c r="C88" s="8"/>
      <c r="D88" s="24">
        <v>3500</v>
      </c>
      <c r="E88" s="2"/>
      <c r="F88" s="2"/>
      <c r="G88" s="2"/>
      <c r="H88" s="2"/>
      <c r="I88" s="2"/>
      <c r="J88" s="2"/>
      <c r="K88" s="2"/>
      <c r="L88" s="2"/>
      <c r="M88" s="2"/>
      <c r="N88" s="3"/>
    </row>
    <row r="89" spans="1:14" ht="24" x14ac:dyDescent="0.4">
      <c r="A89" s="8" t="s">
        <v>123</v>
      </c>
      <c r="B89" s="8" t="s">
        <v>147</v>
      </c>
      <c r="C89" s="8"/>
      <c r="D89" s="24">
        <v>3100</v>
      </c>
      <c r="E89" s="2"/>
      <c r="F89" s="2"/>
      <c r="G89" s="2"/>
      <c r="H89" s="2"/>
      <c r="I89" s="2"/>
      <c r="J89" s="2"/>
      <c r="K89" s="2"/>
      <c r="L89" s="2"/>
      <c r="M89" s="2"/>
      <c r="N89" s="3"/>
    </row>
    <row r="90" spans="1:14" ht="24" x14ac:dyDescent="0.4">
      <c r="A90" s="8" t="s">
        <v>124</v>
      </c>
      <c r="B90" s="8" t="s">
        <v>152</v>
      </c>
      <c r="C90" s="8"/>
      <c r="D90" s="24">
        <v>2170</v>
      </c>
      <c r="E90" s="2"/>
      <c r="F90" s="2"/>
      <c r="G90" s="2"/>
      <c r="H90" s="2"/>
      <c r="I90" s="2"/>
      <c r="J90" s="2"/>
      <c r="K90" s="2"/>
      <c r="L90" s="2"/>
      <c r="M90" s="2"/>
      <c r="N90" s="3"/>
    </row>
    <row r="91" spans="1:14" ht="24" x14ac:dyDescent="0.4">
      <c r="A91" s="8" t="s">
        <v>125</v>
      </c>
      <c r="B91" s="8" t="s">
        <v>148</v>
      </c>
      <c r="C91" s="8"/>
      <c r="D91" s="24">
        <v>10500</v>
      </c>
      <c r="E91" s="2"/>
      <c r="F91" s="2"/>
      <c r="G91" s="2"/>
      <c r="H91" s="2"/>
      <c r="I91" s="2"/>
      <c r="J91" s="2"/>
      <c r="K91" s="2"/>
      <c r="L91" s="2"/>
      <c r="M91" s="2"/>
      <c r="N91" s="3"/>
    </row>
    <row r="92" spans="1:14" ht="24" x14ac:dyDescent="0.4">
      <c r="A92" s="8" t="s">
        <v>126</v>
      </c>
      <c r="B92" s="8" t="s">
        <v>149</v>
      </c>
      <c r="C92" s="8"/>
      <c r="D92" s="24">
        <v>6250</v>
      </c>
      <c r="E92" s="2"/>
      <c r="F92" s="2"/>
      <c r="G92" s="2"/>
      <c r="H92" s="2"/>
      <c r="I92" s="2"/>
      <c r="J92" s="2"/>
      <c r="K92" s="2"/>
      <c r="L92" s="2"/>
      <c r="M92" s="2"/>
      <c r="N92" s="3"/>
    </row>
    <row r="93" spans="1:14" ht="24" x14ac:dyDescent="0.4">
      <c r="A93" s="11">
        <v>3.5</v>
      </c>
      <c r="B93" s="23" t="s">
        <v>153</v>
      </c>
      <c r="C93" s="23"/>
      <c r="D93" s="23"/>
      <c r="E93" s="2"/>
      <c r="F93" s="2"/>
      <c r="G93" s="2"/>
      <c r="H93" s="2"/>
      <c r="I93" s="2"/>
      <c r="J93" s="2"/>
      <c r="K93" s="2"/>
      <c r="L93" s="2"/>
      <c r="M93" s="2"/>
      <c r="N93" s="3"/>
    </row>
    <row r="94" spans="1:14" ht="24" x14ac:dyDescent="0.4">
      <c r="A94" s="8" t="s">
        <v>127</v>
      </c>
      <c r="B94" s="8" t="s">
        <v>154</v>
      </c>
      <c r="C94" s="8"/>
      <c r="D94" s="24">
        <v>7500</v>
      </c>
      <c r="E94" s="2"/>
      <c r="F94" s="2"/>
      <c r="G94" s="2"/>
      <c r="H94" s="2"/>
      <c r="I94" s="2"/>
      <c r="J94" s="2"/>
      <c r="K94" s="2"/>
      <c r="L94" s="2"/>
      <c r="M94" s="2"/>
      <c r="N94" s="3"/>
    </row>
    <row r="95" spans="1:14" ht="24" x14ac:dyDescent="0.4">
      <c r="A95" s="8" t="s">
        <v>128</v>
      </c>
      <c r="B95" s="8" t="s">
        <v>155</v>
      </c>
      <c r="C95" s="8"/>
      <c r="D95" s="24">
        <v>9000</v>
      </c>
      <c r="E95" s="2"/>
      <c r="F95" s="2"/>
      <c r="G95" s="2"/>
      <c r="H95" s="2"/>
      <c r="I95" s="2"/>
      <c r="J95" s="2"/>
      <c r="K95" s="2"/>
      <c r="L95" s="2"/>
      <c r="M95" s="2"/>
      <c r="N95" s="3"/>
    </row>
    <row r="96" spans="1:14" ht="24" x14ac:dyDescent="0.4">
      <c r="A96" s="11">
        <v>3.6</v>
      </c>
      <c r="B96" s="23" t="s">
        <v>156</v>
      </c>
      <c r="C96" s="23"/>
      <c r="D96" s="23"/>
      <c r="E96" s="2"/>
      <c r="F96" s="2"/>
      <c r="G96" s="2"/>
      <c r="H96" s="2"/>
      <c r="I96" s="2"/>
      <c r="J96" s="2"/>
      <c r="K96" s="2"/>
      <c r="L96" s="2"/>
      <c r="M96" s="2"/>
      <c r="N96" s="3"/>
    </row>
    <row r="97" spans="1:14" ht="24" x14ac:dyDescent="0.4">
      <c r="A97" s="8" t="s">
        <v>129</v>
      </c>
      <c r="B97" s="8" t="s">
        <v>157</v>
      </c>
      <c r="C97" s="8"/>
      <c r="D97" s="24">
        <v>67000</v>
      </c>
      <c r="E97" s="2"/>
      <c r="F97" s="2"/>
      <c r="G97" s="2"/>
      <c r="H97" s="2"/>
      <c r="I97" s="2"/>
      <c r="J97" s="2"/>
      <c r="K97" s="2"/>
      <c r="L97" s="2"/>
      <c r="M97" s="2"/>
      <c r="N97" s="3"/>
    </row>
    <row r="98" spans="1:14" ht="24" x14ac:dyDescent="0.4">
      <c r="A98" s="8" t="s">
        <v>130</v>
      </c>
      <c r="B98" s="8" t="s">
        <v>158</v>
      </c>
      <c r="C98" s="8"/>
      <c r="D98" s="24">
        <v>100000</v>
      </c>
      <c r="E98" s="2"/>
      <c r="F98" s="2"/>
      <c r="G98" s="2"/>
      <c r="H98" s="2"/>
      <c r="I98" s="2"/>
      <c r="J98" s="2"/>
      <c r="K98" s="2"/>
      <c r="L98" s="2"/>
      <c r="M98" s="2"/>
      <c r="N98" s="3"/>
    </row>
    <row r="99" spans="1:14" ht="24" x14ac:dyDescent="0.4">
      <c r="A99" s="11">
        <v>3.7</v>
      </c>
      <c r="B99" s="23" t="s">
        <v>159</v>
      </c>
      <c r="C99" s="23"/>
      <c r="D99" s="15" t="s">
        <v>24</v>
      </c>
      <c r="E99" s="2"/>
      <c r="F99" s="2"/>
      <c r="G99" s="2"/>
      <c r="H99" s="2"/>
      <c r="I99" s="2"/>
      <c r="J99" s="2"/>
      <c r="K99" s="2"/>
      <c r="L99" s="2"/>
      <c r="M99" s="2"/>
      <c r="N99" s="3"/>
    </row>
    <row r="100" spans="1:14" ht="24" x14ac:dyDescent="0.4">
      <c r="A100" s="11">
        <v>3.8</v>
      </c>
      <c r="B100" s="23" t="s">
        <v>160</v>
      </c>
      <c r="C100" s="23"/>
      <c r="D100" s="15" t="s">
        <v>24</v>
      </c>
      <c r="E100" s="2"/>
      <c r="F100" s="2"/>
      <c r="G100" s="2"/>
      <c r="H100" s="2"/>
      <c r="I100" s="2"/>
      <c r="J100" s="2"/>
      <c r="K100" s="2"/>
      <c r="L100" s="2"/>
      <c r="M100" s="2"/>
      <c r="N100" s="3"/>
    </row>
    <row r="101" spans="1:14" ht="24" x14ac:dyDescent="0.4">
      <c r="A101" s="11">
        <v>3.9</v>
      </c>
      <c r="B101" s="23" t="s">
        <v>161</v>
      </c>
      <c r="C101" s="23"/>
      <c r="D101" s="15" t="s">
        <v>24</v>
      </c>
      <c r="E101" s="2"/>
      <c r="F101" s="2"/>
      <c r="G101" s="2"/>
      <c r="H101" s="2"/>
      <c r="I101" s="2"/>
      <c r="J101" s="2"/>
      <c r="K101" s="2"/>
      <c r="L101" s="2"/>
      <c r="M101" s="2"/>
      <c r="N101" s="3"/>
    </row>
    <row r="102" spans="1:14" ht="24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</row>
    <row r="103" spans="1:14" ht="24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</row>
    <row r="104" spans="1:14" ht="24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</row>
    <row r="105" spans="1:14" ht="24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</row>
    <row r="106" spans="1:14" ht="24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</row>
    <row r="107" spans="1:14" ht="24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</row>
    <row r="108" spans="1:14" ht="24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</row>
    <row r="109" spans="1:14" ht="24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</row>
    <row r="110" spans="1:14" ht="24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</row>
    <row r="111" spans="1:14" ht="24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</row>
    <row r="112" spans="1:14" ht="24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</row>
    <row r="113" spans="1:14" ht="24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</row>
    <row r="114" spans="1:14" ht="24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</row>
    <row r="115" spans="1:14" ht="24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</row>
    <row r="116" spans="1:14" ht="24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</row>
    <row r="117" spans="1:14" ht="24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</row>
    <row r="118" spans="1:14" ht="24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</row>
    <row r="119" spans="1:14" ht="24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</row>
    <row r="120" spans="1:14" ht="24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</row>
    <row r="121" spans="1:14" ht="24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</row>
    <row r="122" spans="1:14" ht="24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</row>
    <row r="123" spans="1:14" ht="24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</row>
    <row r="124" spans="1:14" ht="24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</row>
    <row r="125" spans="1:14" ht="24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</row>
    <row r="126" spans="1:14" ht="24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</row>
    <row r="127" spans="1:14" ht="24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</row>
    <row r="128" spans="1:14" ht="24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</row>
    <row r="129" spans="1:14" ht="24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</row>
    <row r="130" spans="1:14" ht="24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</row>
    <row r="131" spans="1:14" ht="24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</row>
    <row r="132" spans="1:14" ht="24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</row>
    <row r="133" spans="1:14" ht="24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</row>
    <row r="134" spans="1:14" ht="24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</row>
    <row r="135" spans="1:14" ht="24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</row>
    <row r="136" spans="1:14" ht="24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</row>
    <row r="137" spans="1:14" ht="24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</row>
    <row r="138" spans="1:14" ht="24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</row>
    <row r="139" spans="1:14" ht="24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</row>
    <row r="140" spans="1:14" ht="24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</row>
    <row r="141" spans="1:14" ht="24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</row>
    <row r="142" spans="1:14" ht="24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</row>
    <row r="143" spans="1:14" ht="24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</row>
    <row r="144" spans="1:14" ht="24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</row>
    <row r="145" spans="1:14" ht="24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</row>
    <row r="146" spans="1:14" ht="24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</row>
    <row r="147" spans="1:14" ht="24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</row>
    <row r="148" spans="1:14" ht="24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</row>
    <row r="149" spans="1:14" ht="24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</row>
    <row r="150" spans="1:14" ht="24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</row>
    <row r="151" spans="1:14" ht="24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</row>
    <row r="152" spans="1:14" ht="24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</row>
    <row r="153" spans="1:14" ht="24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</row>
    <row r="154" spans="1:14" ht="24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</row>
    <row r="155" spans="1:14" ht="24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</row>
    <row r="156" spans="1:14" ht="24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</row>
    <row r="157" spans="1:14" ht="24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</row>
    <row r="158" spans="1:14" ht="24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</row>
    <row r="159" spans="1:14" ht="24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</row>
    <row r="160" spans="1:14" ht="24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</row>
    <row r="161" spans="1:14" ht="24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</row>
    <row r="162" spans="1:14" ht="24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</row>
    <row r="163" spans="1:14" ht="24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</row>
    <row r="164" spans="1:14" ht="24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</row>
    <row r="165" spans="1:14" ht="24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</row>
    <row r="166" spans="1:14" ht="24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</row>
    <row r="167" spans="1:14" ht="24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</row>
    <row r="168" spans="1:14" ht="24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</row>
    <row r="169" spans="1:14" ht="24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</row>
    <row r="170" spans="1:14" ht="24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</row>
    <row r="171" spans="1:14" ht="24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</row>
    <row r="172" spans="1:14" ht="24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</row>
    <row r="173" spans="1:14" ht="24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</row>
    <row r="174" spans="1:14" ht="24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</row>
    <row r="175" spans="1:14" ht="24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</row>
    <row r="176" spans="1:14" ht="24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</row>
    <row r="177" spans="1:14" ht="24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</row>
    <row r="178" spans="1:14" ht="24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</row>
    <row r="179" spans="1:14" ht="24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</row>
    <row r="180" spans="1:14" ht="24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</row>
    <row r="181" spans="1:14" ht="24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</row>
    <row r="182" spans="1:14" ht="24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</row>
    <row r="183" spans="1:14" ht="24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</row>
    <row r="184" spans="1:14" ht="24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</row>
    <row r="185" spans="1:14" ht="1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 ht="1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 ht="1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ht="1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 ht="18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 ht="18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 ht="18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 ht="18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 ht="18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ht="18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 ht="1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 ht="1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ht="1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 ht="1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 ht="1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 ht="1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 ht="1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 ht="18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 ht="18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 ht="18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 ht="18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 ht="18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 ht="18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 ht="18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ht="18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 ht="18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 ht="18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 ht="18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 ht="18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1:14" ht="18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 ht="1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4" ht="18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1:14" ht="18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 ht="18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1:14" ht="18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1:14" ht="18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1:14" ht="18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1:14" ht="18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14" ht="18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1:14" ht="18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1:14" ht="18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1:14" ht="18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1:14" ht="18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1:14" ht="18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1:14" ht="18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1:14" ht="18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1:14" ht="18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1:14" ht="18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1:14" ht="18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1:14" ht="18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1:14" ht="18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1:14" ht="18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14" ht="18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1:14" ht="18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1:14" ht="18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1:14" ht="18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1:14" ht="18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1:14" ht="18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14" ht="18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1:14" ht="18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1:14" ht="18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1:14" ht="18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1:14" ht="18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1:14" ht="18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14" ht="18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1:14" ht="18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1:14" ht="18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1:14" ht="18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1:14" ht="18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4" ht="18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1:14" ht="18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1:14" ht="18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1:14" ht="18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1:14" ht="18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1:14" ht="18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1:14" ht="18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1:14" ht="18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1:14" ht="18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1:14" ht="18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1:14" ht="18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1:14" ht="18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1:14" ht="18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1:14" ht="18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1:14" ht="18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1:14" ht="18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1:14" ht="18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1:14" ht="18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 ht="18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1:14" ht="18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1:14" ht="18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 ht="18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1:14" ht="18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CEDCD-39A8-ED4F-AE2D-E59832CE51DF}">
  <dimension ref="A1:C9"/>
  <sheetViews>
    <sheetView workbookViewId="0">
      <selection activeCell="B4" sqref="B4"/>
    </sheetView>
  </sheetViews>
  <sheetFormatPr baseColWidth="10" defaultRowHeight="16" x14ac:dyDescent="0.2"/>
  <cols>
    <col min="1" max="1" width="5.5" bestFit="1" customWidth="1"/>
    <col min="2" max="2" width="35.33203125" bestFit="1" customWidth="1"/>
    <col min="3" max="3" width="34.5" bestFit="1" customWidth="1"/>
  </cols>
  <sheetData>
    <row r="1" spans="1:3" x14ac:dyDescent="0.2">
      <c r="A1" t="s">
        <v>162</v>
      </c>
      <c r="B1" t="s">
        <v>168</v>
      </c>
      <c r="C1" t="s">
        <v>0</v>
      </c>
    </row>
    <row r="2" spans="1:3" x14ac:dyDescent="0.2">
      <c r="A2">
        <v>1</v>
      </c>
      <c r="B2" t="s">
        <v>432</v>
      </c>
      <c r="C2" t="s">
        <v>433</v>
      </c>
    </row>
    <row r="3" spans="1:3" x14ac:dyDescent="0.2">
      <c r="A3">
        <v>2</v>
      </c>
      <c r="B3" t="s">
        <v>173</v>
      </c>
      <c r="C3" t="s">
        <v>227</v>
      </c>
    </row>
    <row r="4" spans="1:3" x14ac:dyDescent="0.2">
      <c r="A4">
        <v>3</v>
      </c>
      <c r="B4" t="s">
        <v>438</v>
      </c>
      <c r="C4" t="s">
        <v>434</v>
      </c>
    </row>
    <row r="5" spans="1:3" x14ac:dyDescent="0.2">
      <c r="A5">
        <v>4</v>
      </c>
      <c r="B5" t="s">
        <v>230</v>
      </c>
      <c r="C5" t="s">
        <v>228</v>
      </c>
    </row>
    <row r="6" spans="1:3" x14ac:dyDescent="0.2">
      <c r="A6">
        <v>5</v>
      </c>
      <c r="B6" t="s">
        <v>231</v>
      </c>
      <c r="C6" t="s">
        <v>229</v>
      </c>
    </row>
    <row r="7" spans="1:3" x14ac:dyDescent="0.2">
      <c r="A7">
        <v>6</v>
      </c>
      <c r="B7" t="s">
        <v>171</v>
      </c>
      <c r="C7" t="s">
        <v>261</v>
      </c>
    </row>
    <row r="8" spans="1:3" x14ac:dyDescent="0.2">
      <c r="A8">
        <v>7</v>
      </c>
      <c r="B8" t="s">
        <v>172</v>
      </c>
      <c r="C8" t="s">
        <v>262</v>
      </c>
    </row>
    <row r="9" spans="1:3" ht="24" x14ac:dyDescent="0.4">
      <c r="B9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1C73E-E36F-6842-A21E-DEB75CADB767}">
  <dimension ref="A1:S45"/>
  <sheetViews>
    <sheetView workbookViewId="0">
      <pane xSplit="3" ySplit="1" topLeftCell="D14" activePane="bottomRight" state="frozen"/>
      <selection pane="topRight" activeCell="D1" sqref="D1"/>
      <selection pane="bottomLeft" activeCell="A2" sqref="A2"/>
      <selection pane="bottomRight" activeCell="P33" sqref="P33"/>
    </sheetView>
  </sheetViews>
  <sheetFormatPr baseColWidth="10" defaultRowHeight="16" x14ac:dyDescent="0.2"/>
  <cols>
    <col min="1" max="1" width="5.5" bestFit="1" customWidth="1"/>
    <col min="2" max="2" width="10.5" style="29" bestFit="1" customWidth="1"/>
    <col min="3" max="3" width="30.1640625" customWidth="1"/>
    <col min="4" max="5" width="26.33203125" customWidth="1"/>
    <col min="6" max="6" width="15.1640625" bestFit="1" customWidth="1"/>
    <col min="7" max="7" width="26.33203125" customWidth="1"/>
    <col min="8" max="8" width="13.6640625" bestFit="1" customWidth="1"/>
    <col min="9" max="9" width="7.83203125" bestFit="1" customWidth="1"/>
    <col min="10" max="10" width="11" bestFit="1" customWidth="1"/>
    <col min="11" max="11" width="11.83203125" bestFit="1" customWidth="1"/>
    <col min="12" max="12" width="7.83203125" customWidth="1"/>
    <col min="13" max="13" width="12.5" bestFit="1" customWidth="1"/>
    <col min="14" max="14" width="7.1640625" customWidth="1"/>
    <col min="15" max="15" width="13.6640625" bestFit="1" customWidth="1"/>
    <col min="16" max="16" width="14.6640625" bestFit="1" customWidth="1"/>
    <col min="17" max="17" width="11.5" bestFit="1" customWidth="1"/>
    <col min="18" max="18" width="7.5" bestFit="1" customWidth="1"/>
    <col min="19" max="19" width="84.83203125" bestFit="1" customWidth="1"/>
  </cols>
  <sheetData>
    <row r="1" spans="1:19" ht="24" x14ac:dyDescent="0.4">
      <c r="A1" s="35" t="s">
        <v>162</v>
      </c>
      <c r="B1" s="35" t="s">
        <v>163</v>
      </c>
      <c r="C1" s="35" t="s">
        <v>0</v>
      </c>
      <c r="D1" s="36" t="s">
        <v>188</v>
      </c>
      <c r="E1" s="33" t="s">
        <v>421</v>
      </c>
      <c r="F1" s="36" t="s">
        <v>367</v>
      </c>
      <c r="G1" s="36" t="s">
        <v>370</v>
      </c>
      <c r="H1" s="36" t="s">
        <v>225</v>
      </c>
      <c r="I1" s="36" t="s">
        <v>195</v>
      </c>
      <c r="J1" s="33" t="s">
        <v>242</v>
      </c>
      <c r="K1" s="33" t="s">
        <v>272</v>
      </c>
      <c r="L1" s="33" t="s">
        <v>240</v>
      </c>
      <c r="M1" s="36" t="s">
        <v>189</v>
      </c>
      <c r="N1" s="35" t="s">
        <v>1</v>
      </c>
      <c r="O1" s="35" t="s">
        <v>398</v>
      </c>
      <c r="P1" s="35" t="s">
        <v>209</v>
      </c>
      <c r="Q1" s="35" t="s">
        <v>212</v>
      </c>
      <c r="R1" s="35" t="s">
        <v>165</v>
      </c>
      <c r="S1" s="35" t="s">
        <v>164</v>
      </c>
    </row>
    <row r="2" spans="1:19" x14ac:dyDescent="0.2">
      <c r="A2" s="35">
        <v>1</v>
      </c>
      <c r="B2" s="35">
        <v>1.1000000000000001</v>
      </c>
      <c r="C2" s="35" t="s">
        <v>4</v>
      </c>
      <c r="D2" s="35" t="b">
        <v>1</v>
      </c>
      <c r="E2" s="35"/>
      <c r="F2" s="35" t="s">
        <v>253</v>
      </c>
      <c r="G2" s="35" t="b">
        <v>1</v>
      </c>
      <c r="H2" s="35"/>
      <c r="I2" s="35"/>
      <c r="J2" s="35"/>
      <c r="K2" s="35"/>
      <c r="L2" s="35"/>
      <c r="M2" s="35"/>
      <c r="N2" s="37"/>
      <c r="O2" s="35" t="b">
        <v>1</v>
      </c>
      <c r="P2" s="35"/>
      <c r="Q2" s="35" t="s">
        <v>213</v>
      </c>
      <c r="R2" s="35" t="s">
        <v>166</v>
      </c>
      <c r="S2" s="35" t="s">
        <v>441</v>
      </c>
    </row>
    <row r="3" spans="1:19" x14ac:dyDescent="0.2">
      <c r="A3" s="35">
        <v>2</v>
      </c>
      <c r="B3" s="35" t="s">
        <v>192</v>
      </c>
      <c r="C3" s="35" t="s">
        <v>190</v>
      </c>
      <c r="D3" s="35" t="b">
        <v>0</v>
      </c>
      <c r="E3" s="35"/>
      <c r="F3" s="35"/>
      <c r="G3" s="35" t="b">
        <v>1</v>
      </c>
      <c r="H3" s="35">
        <v>1.1000000000000001</v>
      </c>
      <c r="I3" s="35">
        <v>1.1000000000000001</v>
      </c>
      <c r="J3" s="35"/>
      <c r="K3" s="35"/>
      <c r="L3" s="35"/>
      <c r="M3" s="35" t="b">
        <v>1</v>
      </c>
      <c r="N3" s="37"/>
      <c r="O3" s="37"/>
      <c r="P3" s="35" t="s">
        <v>210</v>
      </c>
      <c r="Q3" s="35" t="s">
        <v>213</v>
      </c>
      <c r="R3" s="35"/>
      <c r="S3" s="35"/>
    </row>
    <row r="4" spans="1:19" x14ac:dyDescent="0.2">
      <c r="A4" s="35">
        <v>3</v>
      </c>
      <c r="B4" s="35" t="s">
        <v>193</v>
      </c>
      <c r="C4" s="35" t="s">
        <v>97</v>
      </c>
      <c r="D4" s="35" t="b">
        <v>0</v>
      </c>
      <c r="E4" s="35"/>
      <c r="F4" s="35"/>
      <c r="G4" s="35" t="b">
        <v>1</v>
      </c>
      <c r="H4" s="35">
        <v>1.1000000000000001</v>
      </c>
      <c r="I4" s="35">
        <v>1.1000000000000001</v>
      </c>
      <c r="J4" s="35"/>
      <c r="K4" s="35"/>
      <c r="L4" s="35"/>
      <c r="M4" s="35" t="b">
        <v>1</v>
      </c>
      <c r="N4" s="37"/>
      <c r="O4" s="37"/>
      <c r="P4" s="35" t="s">
        <v>210</v>
      </c>
      <c r="Q4" s="35" t="s">
        <v>213</v>
      </c>
      <c r="R4" s="35"/>
      <c r="S4" s="35"/>
    </row>
    <row r="5" spans="1:19" x14ac:dyDescent="0.2">
      <c r="A5" s="35">
        <v>4</v>
      </c>
      <c r="B5" s="35" t="s">
        <v>194</v>
      </c>
      <c r="C5" s="35" t="s">
        <v>191</v>
      </c>
      <c r="D5" s="35" t="b">
        <v>0</v>
      </c>
      <c r="E5" s="35"/>
      <c r="F5" s="35"/>
      <c r="G5" s="35" t="b">
        <v>1</v>
      </c>
      <c r="H5" s="35">
        <v>1.1000000000000001</v>
      </c>
      <c r="I5" s="35">
        <v>1.1000000000000001</v>
      </c>
      <c r="J5" s="35"/>
      <c r="K5" s="35"/>
      <c r="L5" s="35"/>
      <c r="M5" s="35" t="b">
        <v>1</v>
      </c>
      <c r="N5" s="37"/>
      <c r="O5" s="37"/>
      <c r="P5" s="35" t="s">
        <v>210</v>
      </c>
      <c r="Q5" s="35" t="s">
        <v>213</v>
      </c>
      <c r="R5" s="35"/>
      <c r="S5" s="35"/>
    </row>
    <row r="6" spans="1:19" x14ac:dyDescent="0.2">
      <c r="A6" s="35">
        <v>5</v>
      </c>
      <c r="B6" s="35">
        <v>1.2</v>
      </c>
      <c r="C6" s="35" t="s">
        <v>6</v>
      </c>
      <c r="D6" s="35" t="b">
        <v>1</v>
      </c>
      <c r="E6" s="35"/>
      <c r="F6" s="35" t="s">
        <v>253</v>
      </c>
      <c r="G6" s="35" t="b">
        <v>1</v>
      </c>
      <c r="H6" s="35"/>
      <c r="I6" s="35"/>
      <c r="J6" s="35"/>
      <c r="K6" s="35"/>
      <c r="L6" s="35"/>
      <c r="M6" s="35"/>
      <c r="N6" s="37"/>
      <c r="O6" s="35" t="b">
        <v>1</v>
      </c>
      <c r="P6" s="35"/>
      <c r="Q6" s="35" t="s">
        <v>213</v>
      </c>
      <c r="R6" s="35" t="s">
        <v>166</v>
      </c>
      <c r="S6" s="35" t="s">
        <v>442</v>
      </c>
    </row>
    <row r="7" spans="1:19" x14ac:dyDescent="0.2">
      <c r="A7" s="35">
        <v>6</v>
      </c>
      <c r="B7" s="35" t="s">
        <v>196</v>
      </c>
      <c r="C7" s="35" t="s">
        <v>190</v>
      </c>
      <c r="D7" s="35" t="b">
        <v>0</v>
      </c>
      <c r="E7" s="35"/>
      <c r="F7" s="35"/>
      <c r="G7" s="35" t="b">
        <v>1</v>
      </c>
      <c r="H7" s="35">
        <v>1.2</v>
      </c>
      <c r="I7" s="35">
        <v>1.2</v>
      </c>
      <c r="J7" s="35"/>
      <c r="K7" s="35"/>
      <c r="L7" s="35"/>
      <c r="M7" s="35" t="b">
        <v>1</v>
      </c>
      <c r="N7" s="37"/>
      <c r="O7" s="37"/>
      <c r="P7" s="35" t="s">
        <v>210</v>
      </c>
      <c r="Q7" s="35" t="s">
        <v>213</v>
      </c>
      <c r="R7" s="35"/>
      <c r="S7" s="35"/>
    </row>
    <row r="8" spans="1:19" x14ac:dyDescent="0.2">
      <c r="A8" s="35">
        <v>7</v>
      </c>
      <c r="B8" s="35" t="s">
        <v>197</v>
      </c>
      <c r="C8" s="35" t="s">
        <v>97</v>
      </c>
      <c r="D8" s="35" t="b">
        <v>0</v>
      </c>
      <c r="E8" s="35"/>
      <c r="F8" s="35"/>
      <c r="G8" s="35" t="b">
        <v>1</v>
      </c>
      <c r="H8" s="35">
        <v>1.2</v>
      </c>
      <c r="I8" s="35">
        <v>1.2</v>
      </c>
      <c r="J8" s="35"/>
      <c r="K8" s="35"/>
      <c r="L8" s="35"/>
      <c r="M8" s="35" t="b">
        <v>1</v>
      </c>
      <c r="N8" s="37"/>
      <c r="O8" s="37"/>
      <c r="P8" s="35" t="s">
        <v>210</v>
      </c>
      <c r="Q8" s="35" t="s">
        <v>213</v>
      </c>
      <c r="R8" s="35"/>
      <c r="S8" s="35"/>
    </row>
    <row r="9" spans="1:19" x14ac:dyDescent="0.2">
      <c r="A9" s="35">
        <v>8</v>
      </c>
      <c r="B9" s="35" t="s">
        <v>198</v>
      </c>
      <c r="C9" s="35" t="s">
        <v>191</v>
      </c>
      <c r="D9" s="35" t="b">
        <v>0</v>
      </c>
      <c r="E9" s="35"/>
      <c r="F9" s="35"/>
      <c r="G9" s="35" t="b">
        <v>1</v>
      </c>
      <c r="H9" s="35">
        <v>1.2</v>
      </c>
      <c r="I9" s="35">
        <v>1.2</v>
      </c>
      <c r="J9" s="35"/>
      <c r="K9" s="35"/>
      <c r="L9" s="35"/>
      <c r="M9" s="35" t="b">
        <v>1</v>
      </c>
      <c r="N9" s="37"/>
      <c r="O9" s="37"/>
      <c r="P9" s="35" t="s">
        <v>210</v>
      </c>
      <c r="Q9" s="35" t="s">
        <v>213</v>
      </c>
      <c r="R9" s="35"/>
      <c r="S9" s="35"/>
    </row>
    <row r="10" spans="1:19" ht="19" customHeight="1" x14ac:dyDescent="0.4">
      <c r="A10" s="35">
        <v>9</v>
      </c>
      <c r="B10" s="35">
        <v>1.3</v>
      </c>
      <c r="C10" s="35" t="s">
        <v>248</v>
      </c>
      <c r="D10" s="23" t="b">
        <v>1</v>
      </c>
      <c r="E10" s="23"/>
      <c r="F10" s="8" t="s">
        <v>43</v>
      </c>
      <c r="G10" s="8" t="b">
        <v>1</v>
      </c>
      <c r="H10" s="23"/>
      <c r="I10" s="8"/>
      <c r="J10" s="8" t="b">
        <v>1</v>
      </c>
      <c r="K10" s="23"/>
      <c r="L10" s="23"/>
      <c r="M10" s="23"/>
      <c r="N10" s="23"/>
      <c r="O10" s="8" t="b">
        <v>1</v>
      </c>
      <c r="P10" s="23"/>
      <c r="Q10" s="23" t="s">
        <v>360</v>
      </c>
      <c r="R10" s="23"/>
      <c r="S10" s="23"/>
    </row>
    <row r="11" spans="1:19" ht="19" customHeight="1" x14ac:dyDescent="0.4">
      <c r="A11" s="35">
        <v>10</v>
      </c>
      <c r="B11" s="35" t="s">
        <v>364</v>
      </c>
      <c r="C11" s="35" t="s">
        <v>249</v>
      </c>
      <c r="D11" s="8" t="b">
        <v>1</v>
      </c>
      <c r="E11" s="8"/>
      <c r="F11" s="8"/>
      <c r="G11" s="8"/>
      <c r="H11" s="27">
        <v>1.3</v>
      </c>
      <c r="I11" s="8"/>
      <c r="J11" s="8"/>
      <c r="K11" s="8"/>
      <c r="L11" s="27" t="b">
        <v>1</v>
      </c>
      <c r="M11" s="8"/>
      <c r="N11" s="7"/>
      <c r="O11" s="8"/>
      <c r="P11" s="8"/>
      <c r="Q11" s="8" t="s">
        <v>214</v>
      </c>
      <c r="R11" s="8"/>
      <c r="S11" s="24"/>
    </row>
    <row r="12" spans="1:19" ht="19" customHeight="1" x14ac:dyDescent="0.4">
      <c r="A12" s="35">
        <v>11</v>
      </c>
      <c r="B12" s="35" t="s">
        <v>435</v>
      </c>
      <c r="C12" s="35" t="s">
        <v>43</v>
      </c>
      <c r="D12" s="8" t="b">
        <v>0</v>
      </c>
      <c r="E12" s="8"/>
      <c r="F12" s="8" t="s">
        <v>37</v>
      </c>
      <c r="G12" s="8" t="b">
        <v>1</v>
      </c>
      <c r="H12" s="27" t="s">
        <v>364</v>
      </c>
      <c r="I12" s="8"/>
      <c r="J12" s="8"/>
      <c r="K12" s="27">
        <v>1.3</v>
      </c>
      <c r="L12" s="27"/>
      <c r="M12" s="8"/>
      <c r="N12" s="7">
        <v>35</v>
      </c>
      <c r="O12" s="7"/>
      <c r="P12" s="8" t="s">
        <v>274</v>
      </c>
      <c r="Q12" s="8" t="s">
        <v>214</v>
      </c>
      <c r="R12" s="8"/>
      <c r="S12" s="24" t="s">
        <v>250</v>
      </c>
    </row>
    <row r="13" spans="1:19" ht="19" customHeight="1" x14ac:dyDescent="0.4">
      <c r="A13" s="35">
        <v>12</v>
      </c>
      <c r="B13" s="35" t="s">
        <v>436</v>
      </c>
      <c r="C13" s="35" t="s">
        <v>251</v>
      </c>
      <c r="D13" s="8" t="b">
        <v>1</v>
      </c>
      <c r="E13" s="8"/>
      <c r="F13" s="8"/>
      <c r="G13" s="8"/>
      <c r="H13" s="27">
        <v>1.3</v>
      </c>
      <c r="I13" s="8"/>
      <c r="J13" s="8"/>
      <c r="K13" s="8"/>
      <c r="L13" s="27" t="b">
        <v>1</v>
      </c>
      <c r="M13" s="8"/>
      <c r="N13" s="7"/>
      <c r="O13" s="8"/>
      <c r="P13" s="8"/>
      <c r="Q13" s="8" t="s">
        <v>214</v>
      </c>
      <c r="R13" s="8"/>
      <c r="S13" s="24"/>
    </row>
    <row r="14" spans="1:19" ht="19" customHeight="1" x14ac:dyDescent="0.4">
      <c r="A14" s="35">
        <v>13</v>
      </c>
      <c r="B14" s="35" t="s">
        <v>437</v>
      </c>
      <c r="C14" s="35" t="s">
        <v>43</v>
      </c>
      <c r="D14" s="8" t="b">
        <v>0</v>
      </c>
      <c r="E14" s="8"/>
      <c r="F14" s="8" t="s">
        <v>37</v>
      </c>
      <c r="G14" s="8" t="b">
        <v>1</v>
      </c>
      <c r="H14" s="27" t="s">
        <v>436</v>
      </c>
      <c r="I14" s="8"/>
      <c r="J14" s="8"/>
      <c r="K14" s="27">
        <v>1.3</v>
      </c>
      <c r="L14" s="27"/>
      <c r="M14" s="8"/>
      <c r="N14" s="7">
        <v>50</v>
      </c>
      <c r="O14" s="7"/>
      <c r="P14" s="8" t="s">
        <v>274</v>
      </c>
      <c r="Q14" s="8" t="s">
        <v>214</v>
      </c>
      <c r="R14" s="8"/>
      <c r="S14" s="24" t="s">
        <v>252</v>
      </c>
    </row>
    <row r="15" spans="1:19" ht="16" customHeight="1" x14ac:dyDescent="0.2">
      <c r="A15" s="35">
        <v>14</v>
      </c>
      <c r="B15" s="35">
        <v>1.4</v>
      </c>
      <c r="C15" s="35" t="s">
        <v>44</v>
      </c>
      <c r="D15" s="35" t="b">
        <v>1</v>
      </c>
      <c r="E15" s="35"/>
      <c r="F15" s="35"/>
      <c r="G15" s="35" t="b">
        <v>1</v>
      </c>
      <c r="H15" s="35"/>
      <c r="I15" s="35"/>
      <c r="J15" s="35"/>
      <c r="K15" s="35"/>
      <c r="L15" s="35"/>
      <c r="M15" s="35"/>
      <c r="N15" s="37"/>
      <c r="O15" s="35" t="b">
        <v>1</v>
      </c>
      <c r="P15" s="35"/>
      <c r="Q15" s="35" t="s">
        <v>2</v>
      </c>
      <c r="R15" s="35"/>
      <c r="S15" s="35" t="s">
        <v>348</v>
      </c>
    </row>
    <row r="16" spans="1:19" x14ac:dyDescent="0.2">
      <c r="A16" s="35">
        <v>15</v>
      </c>
      <c r="B16" s="35" t="s">
        <v>45</v>
      </c>
      <c r="C16" s="35" t="s">
        <v>9</v>
      </c>
      <c r="D16" s="35" t="b">
        <v>0</v>
      </c>
      <c r="E16" s="35"/>
      <c r="F16" s="35" t="s">
        <v>417</v>
      </c>
      <c r="G16" s="35" t="b">
        <v>1</v>
      </c>
      <c r="H16" s="35">
        <v>1.4</v>
      </c>
      <c r="I16" s="35"/>
      <c r="J16" s="35"/>
      <c r="K16" s="35"/>
      <c r="L16" s="35"/>
      <c r="M16" s="35" t="b">
        <v>1</v>
      </c>
      <c r="N16" s="37">
        <v>600</v>
      </c>
      <c r="O16" s="37"/>
      <c r="P16" s="35" t="s">
        <v>211</v>
      </c>
      <c r="Q16" s="35" t="s">
        <v>2</v>
      </c>
      <c r="R16" s="35" t="s">
        <v>166</v>
      </c>
      <c r="S16" s="35" t="s">
        <v>312</v>
      </c>
    </row>
    <row r="17" spans="1:19" x14ac:dyDescent="0.2">
      <c r="A17" s="35">
        <v>16</v>
      </c>
      <c r="B17" s="35" t="s">
        <v>46</v>
      </c>
      <c r="C17" s="35" t="s">
        <v>10</v>
      </c>
      <c r="D17" s="35" t="b">
        <v>0</v>
      </c>
      <c r="E17" s="35"/>
      <c r="F17" s="35" t="s">
        <v>7</v>
      </c>
      <c r="G17" s="35" t="b">
        <v>1</v>
      </c>
      <c r="H17" s="35">
        <v>1.4</v>
      </c>
      <c r="I17" s="35"/>
      <c r="J17" s="35"/>
      <c r="K17" s="35"/>
      <c r="L17" s="35"/>
      <c r="M17" s="35" t="b">
        <v>1</v>
      </c>
      <c r="N17" s="37">
        <v>1200</v>
      </c>
      <c r="O17" s="37"/>
      <c r="P17" s="35" t="s">
        <v>211</v>
      </c>
      <c r="Q17" s="35" t="s">
        <v>2</v>
      </c>
      <c r="R17" s="35" t="s">
        <v>166</v>
      </c>
      <c r="S17" s="35" t="s">
        <v>313</v>
      </c>
    </row>
    <row r="18" spans="1:19" x14ac:dyDescent="0.2">
      <c r="A18" s="35">
        <v>17</v>
      </c>
      <c r="B18" s="35">
        <v>1.5</v>
      </c>
      <c r="C18" s="35" t="s">
        <v>50</v>
      </c>
      <c r="D18" s="35" t="b">
        <v>0</v>
      </c>
      <c r="E18" s="35" t="b">
        <v>1</v>
      </c>
      <c r="F18" s="35"/>
      <c r="G18" s="35" t="b">
        <v>1</v>
      </c>
      <c r="H18" s="35"/>
      <c r="I18" s="35"/>
      <c r="J18" s="35"/>
      <c r="K18" s="35"/>
      <c r="L18" s="35"/>
      <c r="M18" s="35" t="b">
        <v>1</v>
      </c>
      <c r="N18" s="37">
        <v>300</v>
      </c>
      <c r="O18" s="37"/>
      <c r="P18" s="35" t="s">
        <v>375</v>
      </c>
      <c r="Q18" s="35" t="s">
        <v>216</v>
      </c>
      <c r="R18" s="35" t="s">
        <v>167</v>
      </c>
      <c r="S18" s="35" t="s">
        <v>318</v>
      </c>
    </row>
    <row r="19" spans="1:19" x14ac:dyDescent="0.2">
      <c r="A19" s="35">
        <v>18</v>
      </c>
      <c r="B19" s="35">
        <v>1.6</v>
      </c>
      <c r="C19" s="35" t="s">
        <v>51</v>
      </c>
      <c r="D19" s="35" t="b">
        <v>0</v>
      </c>
      <c r="E19" s="35" t="b">
        <v>1</v>
      </c>
      <c r="F19" s="35"/>
      <c r="G19" s="35" t="b">
        <v>1</v>
      </c>
      <c r="H19" s="35"/>
      <c r="I19" s="35"/>
      <c r="J19" s="35"/>
      <c r="K19" s="35"/>
      <c r="L19" s="35"/>
      <c r="M19" s="35" t="b">
        <v>1</v>
      </c>
      <c r="N19" s="37">
        <v>1500</v>
      </c>
      <c r="O19" s="37"/>
      <c r="P19" s="35" t="s">
        <v>224</v>
      </c>
      <c r="Q19" s="35" t="s">
        <v>217</v>
      </c>
      <c r="R19" s="35" t="s">
        <v>167</v>
      </c>
      <c r="S19" s="35" t="s">
        <v>347</v>
      </c>
    </row>
    <row r="20" spans="1:19" x14ac:dyDescent="0.2">
      <c r="A20" s="35">
        <v>19</v>
      </c>
      <c r="B20" s="35">
        <v>1.7</v>
      </c>
      <c r="C20" s="35" t="s">
        <v>200</v>
      </c>
      <c r="D20" s="35" t="b">
        <v>0</v>
      </c>
      <c r="E20" s="35" t="b">
        <v>1</v>
      </c>
      <c r="F20" s="35"/>
      <c r="G20" s="35" t="b">
        <v>1</v>
      </c>
      <c r="H20" s="35"/>
      <c r="I20" s="35"/>
      <c r="J20" s="35"/>
      <c r="K20" s="35"/>
      <c r="L20" s="35"/>
      <c r="M20" s="35" t="b">
        <v>1</v>
      </c>
      <c r="N20" s="37"/>
      <c r="O20" s="37"/>
      <c r="P20" s="35" t="s">
        <v>5</v>
      </c>
      <c r="Q20" s="35" t="s">
        <v>218</v>
      </c>
      <c r="R20" s="35"/>
      <c r="S20" s="35" t="s">
        <v>208</v>
      </c>
    </row>
    <row r="21" spans="1:19" x14ac:dyDescent="0.2">
      <c r="A21" s="35">
        <v>20</v>
      </c>
      <c r="B21" s="35">
        <v>1.8</v>
      </c>
      <c r="C21" s="35" t="s">
        <v>201</v>
      </c>
      <c r="D21" s="35" t="b">
        <v>0</v>
      </c>
      <c r="E21" s="35" t="b">
        <v>1</v>
      </c>
      <c r="F21" s="35"/>
      <c r="G21" s="35" t="b">
        <v>1</v>
      </c>
      <c r="H21" s="35"/>
      <c r="I21" s="35"/>
      <c r="J21" s="35"/>
      <c r="K21" s="35"/>
      <c r="L21" s="35"/>
      <c r="M21" s="35" t="b">
        <v>1</v>
      </c>
      <c r="N21" s="37"/>
      <c r="O21" s="37"/>
      <c r="P21" t="s">
        <v>373</v>
      </c>
      <c r="Q21" s="35" t="s">
        <v>219</v>
      </c>
      <c r="R21" s="35"/>
      <c r="S21" s="35" t="s">
        <v>208</v>
      </c>
    </row>
    <row r="22" spans="1:19" x14ac:dyDescent="0.2">
      <c r="A22" s="35">
        <v>21</v>
      </c>
      <c r="B22" s="35">
        <v>1.9</v>
      </c>
      <c r="C22" s="35" t="s">
        <v>202</v>
      </c>
      <c r="D22" s="35" t="b">
        <v>0</v>
      </c>
      <c r="E22" s="35" t="b">
        <v>1</v>
      </c>
      <c r="F22" s="35"/>
      <c r="G22" s="35" t="b">
        <v>1</v>
      </c>
      <c r="H22" s="35"/>
      <c r="I22" s="35"/>
      <c r="J22" s="35"/>
      <c r="K22" s="35"/>
      <c r="L22" s="35"/>
      <c r="M22" s="35" t="b">
        <v>1</v>
      </c>
      <c r="N22" s="37"/>
      <c r="O22" s="37"/>
      <c r="P22" t="s">
        <v>373</v>
      </c>
      <c r="Q22" s="35" t="s">
        <v>220</v>
      </c>
      <c r="R22" s="35"/>
      <c r="S22" s="35" t="s">
        <v>208</v>
      </c>
    </row>
    <row r="23" spans="1:19" x14ac:dyDescent="0.2">
      <c r="A23" s="35">
        <v>22</v>
      </c>
      <c r="B23" s="35">
        <v>1.1100000000000001</v>
      </c>
      <c r="C23" s="35" t="s">
        <v>203</v>
      </c>
      <c r="D23" s="35" t="b">
        <v>0</v>
      </c>
      <c r="E23" s="35" t="b">
        <v>1</v>
      </c>
      <c r="F23" s="35"/>
      <c r="G23" s="35" t="b">
        <v>1</v>
      </c>
      <c r="H23" s="35"/>
      <c r="I23" s="35"/>
      <c r="J23" s="35"/>
      <c r="K23" s="35"/>
      <c r="L23" s="35"/>
      <c r="M23" s="35" t="b">
        <v>1</v>
      </c>
      <c r="N23" s="37"/>
      <c r="O23" s="37"/>
      <c r="P23" t="s">
        <v>373</v>
      </c>
      <c r="Q23" s="35" t="s">
        <v>221</v>
      </c>
      <c r="R23" s="35"/>
      <c r="S23" s="35" t="s">
        <v>208</v>
      </c>
    </row>
    <row r="24" spans="1:19" x14ac:dyDescent="0.2">
      <c r="A24" s="35">
        <v>23</v>
      </c>
      <c r="B24" s="35">
        <v>1.1200000000000001</v>
      </c>
      <c r="C24" s="35" t="s">
        <v>204</v>
      </c>
      <c r="D24" s="35" t="b">
        <v>0</v>
      </c>
      <c r="E24" s="35" t="b">
        <v>1</v>
      </c>
      <c r="F24" s="35"/>
      <c r="G24" s="35" t="b">
        <v>1</v>
      </c>
      <c r="H24" s="35"/>
      <c r="I24" s="35"/>
      <c r="J24" s="35"/>
      <c r="K24" s="35"/>
      <c r="L24" s="35"/>
      <c r="M24" s="35" t="b">
        <v>1</v>
      </c>
      <c r="N24" s="37"/>
      <c r="O24" s="37"/>
      <c r="P24" t="s">
        <v>373</v>
      </c>
      <c r="Q24" s="35" t="s">
        <v>221</v>
      </c>
      <c r="R24" s="35"/>
      <c r="S24" s="35" t="s">
        <v>208</v>
      </c>
    </row>
    <row r="25" spans="1:19" x14ac:dyDescent="0.2">
      <c r="A25" s="35">
        <v>24</v>
      </c>
      <c r="B25" s="35">
        <v>1.1299999999999999</v>
      </c>
      <c r="C25" s="35" t="s">
        <v>205</v>
      </c>
      <c r="D25" s="35" t="b">
        <v>0</v>
      </c>
      <c r="E25" s="35" t="b">
        <v>1</v>
      </c>
      <c r="F25" s="35"/>
      <c r="G25" s="35" t="b">
        <v>1</v>
      </c>
      <c r="H25" s="35"/>
      <c r="I25" s="35"/>
      <c r="J25" s="35"/>
      <c r="K25" s="35"/>
      <c r="L25" s="35"/>
      <c r="M25" s="35" t="b">
        <v>1</v>
      </c>
      <c r="N25" s="37"/>
      <c r="O25" s="37"/>
      <c r="P25" s="35" t="s">
        <v>376</v>
      </c>
      <c r="Q25" s="35" t="s">
        <v>222</v>
      </c>
      <c r="R25" s="35"/>
      <c r="S25" s="35" t="s">
        <v>208</v>
      </c>
    </row>
    <row r="26" spans="1:19" x14ac:dyDescent="0.2">
      <c r="A26" s="35">
        <v>25</v>
      </c>
      <c r="B26" s="35">
        <v>1.1399999999999999</v>
      </c>
      <c r="C26" s="35" t="s">
        <v>206</v>
      </c>
      <c r="D26" s="35" t="b">
        <v>0</v>
      </c>
      <c r="E26" s="35" t="b">
        <v>1</v>
      </c>
      <c r="F26" s="35"/>
      <c r="G26" s="35" t="b">
        <v>1</v>
      </c>
      <c r="H26" s="35"/>
      <c r="I26" s="35"/>
      <c r="J26" s="35"/>
      <c r="K26" s="35"/>
      <c r="L26" s="35"/>
      <c r="M26" s="35" t="b">
        <v>1</v>
      </c>
      <c r="N26" s="37"/>
      <c r="O26" s="37"/>
      <c r="P26" t="s">
        <v>373</v>
      </c>
      <c r="Q26" s="35" t="s">
        <v>223</v>
      </c>
      <c r="R26" s="35"/>
      <c r="S26" s="35" t="s">
        <v>208</v>
      </c>
    </row>
    <row r="27" spans="1:19" x14ac:dyDescent="0.2">
      <c r="A27" s="35">
        <v>26</v>
      </c>
      <c r="B27" s="35">
        <v>1.1499999999999999</v>
      </c>
      <c r="C27" s="35" t="s">
        <v>207</v>
      </c>
      <c r="D27" s="35" t="b">
        <v>0</v>
      </c>
      <c r="E27" s="35" t="b">
        <v>1</v>
      </c>
      <c r="F27" s="35"/>
      <c r="G27" s="35" t="b">
        <v>1</v>
      </c>
      <c r="H27" s="35"/>
      <c r="I27" s="35"/>
      <c r="J27" s="35"/>
      <c r="K27" s="35"/>
      <c r="L27" s="35"/>
      <c r="M27" s="35" t="b">
        <v>1</v>
      </c>
      <c r="N27" s="37"/>
      <c r="O27" s="37"/>
      <c r="P27" s="35" t="s">
        <v>5</v>
      </c>
      <c r="Q27" s="35" t="s">
        <v>219</v>
      </c>
      <c r="R27" s="35"/>
      <c r="S27" s="35" t="s">
        <v>208</v>
      </c>
    </row>
    <row r="28" spans="1:19" x14ac:dyDescent="0.2">
      <c r="A28" s="35">
        <v>27</v>
      </c>
      <c r="B28" s="35">
        <v>1.1599999999999999</v>
      </c>
      <c r="C28" t="s">
        <v>263</v>
      </c>
      <c r="D28" s="35" t="b">
        <v>0</v>
      </c>
      <c r="E28" s="35" t="b">
        <v>1</v>
      </c>
      <c r="F28" s="35"/>
      <c r="G28" s="35" t="b">
        <v>1</v>
      </c>
      <c r="H28" s="35"/>
      <c r="M28" s="35" t="b">
        <v>1</v>
      </c>
      <c r="N28" s="35"/>
      <c r="O28" s="35"/>
      <c r="P28" t="s">
        <v>373</v>
      </c>
      <c r="Q28" s="35" t="s">
        <v>356</v>
      </c>
      <c r="S28" s="35" t="s">
        <v>232</v>
      </c>
    </row>
    <row r="29" spans="1:19" x14ac:dyDescent="0.2">
      <c r="A29" s="35">
        <v>28</v>
      </c>
      <c r="B29" s="35">
        <v>1.17</v>
      </c>
      <c r="C29" t="s">
        <v>215</v>
      </c>
      <c r="D29" s="35" t="b">
        <v>1</v>
      </c>
      <c r="E29" s="35"/>
      <c r="F29" s="35"/>
      <c r="G29" s="35" t="b">
        <v>1</v>
      </c>
      <c r="H29" s="35"/>
      <c r="N29" s="37"/>
      <c r="O29" s="35" t="b">
        <v>1</v>
      </c>
      <c r="Q29" s="35" t="s">
        <v>351</v>
      </c>
    </row>
    <row r="30" spans="1:19" x14ac:dyDescent="0.2">
      <c r="A30" s="35">
        <v>29</v>
      </c>
      <c r="B30" s="35" t="s">
        <v>280</v>
      </c>
      <c r="C30" s="35" t="s">
        <v>234</v>
      </c>
      <c r="D30" s="35" t="b">
        <v>0</v>
      </c>
      <c r="E30" s="35"/>
      <c r="F30" s="35" t="s">
        <v>418</v>
      </c>
      <c r="G30" s="35" t="b">
        <v>1</v>
      </c>
      <c r="H30" s="35">
        <v>1.17</v>
      </c>
      <c r="M30" s="35" t="b">
        <v>1</v>
      </c>
      <c r="N30" s="37">
        <v>1450</v>
      </c>
      <c r="O30" s="37"/>
      <c r="P30" t="s">
        <v>416</v>
      </c>
      <c r="Q30" s="35" t="s">
        <v>351</v>
      </c>
      <c r="S30" s="35" t="s">
        <v>346</v>
      </c>
    </row>
    <row r="31" spans="1:19" x14ac:dyDescent="0.2">
      <c r="A31" s="35">
        <v>30</v>
      </c>
      <c r="B31" s="35" t="s">
        <v>281</v>
      </c>
      <c r="C31" s="35" t="s">
        <v>279</v>
      </c>
      <c r="D31" s="35" t="b">
        <v>0</v>
      </c>
      <c r="E31" s="35"/>
      <c r="F31" s="35" t="s">
        <v>419</v>
      </c>
      <c r="G31" s="35" t="b">
        <v>1</v>
      </c>
      <c r="H31" s="35">
        <v>1.17</v>
      </c>
      <c r="M31" s="35" t="b">
        <v>1</v>
      </c>
      <c r="N31" s="37">
        <v>900</v>
      </c>
      <c r="O31" s="37"/>
      <c r="P31" t="s">
        <v>416</v>
      </c>
      <c r="Q31" s="35" t="s">
        <v>351</v>
      </c>
      <c r="S31" s="35" t="s">
        <v>319</v>
      </c>
    </row>
    <row r="32" spans="1:19" x14ac:dyDescent="0.2">
      <c r="A32" s="35">
        <v>31</v>
      </c>
      <c r="B32" s="35">
        <v>1.18</v>
      </c>
      <c r="C32" s="35" t="s">
        <v>372</v>
      </c>
      <c r="D32" s="35" t="b">
        <v>1</v>
      </c>
      <c r="E32" s="35"/>
      <c r="F32" s="35"/>
      <c r="G32" s="35"/>
      <c r="H32" s="35"/>
      <c r="M32" s="35"/>
      <c r="N32" s="35"/>
      <c r="O32" s="35"/>
      <c r="Q32" s="35" t="s">
        <v>218</v>
      </c>
      <c r="S32" s="35"/>
    </row>
    <row r="33" spans="1:19" x14ac:dyDescent="0.2">
      <c r="A33" s="35">
        <v>32</v>
      </c>
      <c r="B33" s="35" t="s">
        <v>365</v>
      </c>
      <c r="C33" t="s">
        <v>264</v>
      </c>
      <c r="D33" s="35" t="b">
        <v>0</v>
      </c>
      <c r="E33" s="35" t="b">
        <v>1</v>
      </c>
      <c r="F33" s="35"/>
      <c r="G33" s="35" t="b">
        <v>1</v>
      </c>
      <c r="H33" s="35">
        <v>1.18</v>
      </c>
      <c r="M33" s="35" t="b">
        <v>1</v>
      </c>
      <c r="N33" s="35"/>
      <c r="O33" s="35"/>
      <c r="P33" t="s">
        <v>373</v>
      </c>
      <c r="Q33" s="35" t="s">
        <v>357</v>
      </c>
      <c r="S33" s="35" t="s">
        <v>233</v>
      </c>
    </row>
    <row r="34" spans="1:19" x14ac:dyDescent="0.2">
      <c r="A34" s="35">
        <v>33</v>
      </c>
      <c r="B34" s="35" t="s">
        <v>366</v>
      </c>
      <c r="C34" t="s">
        <v>265</v>
      </c>
      <c r="D34" s="35" t="b">
        <v>0</v>
      </c>
      <c r="E34" s="35" t="b">
        <v>1</v>
      </c>
      <c r="F34" s="35"/>
      <c r="G34" s="35" t="b">
        <v>1</v>
      </c>
      <c r="H34" s="35">
        <v>1.18</v>
      </c>
      <c r="M34" s="35" t="b">
        <v>1</v>
      </c>
      <c r="N34" s="35"/>
      <c r="O34" s="35"/>
      <c r="P34" t="s">
        <v>373</v>
      </c>
      <c r="Q34" s="35" t="s">
        <v>358</v>
      </c>
      <c r="S34" s="35" t="s">
        <v>233</v>
      </c>
    </row>
    <row r="35" spans="1:19" x14ac:dyDescent="0.2">
      <c r="A35" s="35">
        <v>34</v>
      </c>
      <c r="B35" s="35">
        <v>9.1999999999999993</v>
      </c>
      <c r="C35" s="35" t="s">
        <v>94</v>
      </c>
      <c r="D35" s="35" t="b">
        <v>1</v>
      </c>
      <c r="E35" s="35"/>
      <c r="F35" s="35"/>
      <c r="G35" s="35" t="b">
        <v>1</v>
      </c>
      <c r="N35" s="37"/>
      <c r="O35" s="35" t="b">
        <v>1</v>
      </c>
      <c r="Q35" s="35" t="s">
        <v>353</v>
      </c>
    </row>
    <row r="36" spans="1:19" x14ac:dyDescent="0.2">
      <c r="A36" s="35">
        <v>35</v>
      </c>
      <c r="B36" s="35" t="s">
        <v>402</v>
      </c>
      <c r="C36" s="35" t="s">
        <v>276</v>
      </c>
      <c r="D36" s="35" t="b">
        <v>0</v>
      </c>
      <c r="E36" s="35"/>
      <c r="F36" s="35"/>
      <c r="G36" s="35" t="b">
        <v>1</v>
      </c>
      <c r="H36" s="35">
        <v>9.1999999999999993</v>
      </c>
      <c r="M36" s="35" t="b">
        <v>1</v>
      </c>
      <c r="N36" s="37"/>
      <c r="O36" s="37"/>
      <c r="P36" t="s">
        <v>2</v>
      </c>
      <c r="Q36" t="s">
        <v>352</v>
      </c>
    </row>
    <row r="37" spans="1:19" x14ac:dyDescent="0.2">
      <c r="A37" s="35">
        <v>36</v>
      </c>
      <c r="B37" s="35" t="s">
        <v>403</v>
      </c>
      <c r="C37" s="35" t="s">
        <v>277</v>
      </c>
      <c r="D37" s="35" t="b">
        <v>0</v>
      </c>
      <c r="E37" s="35"/>
      <c r="F37" s="35"/>
      <c r="G37" s="35" t="b">
        <v>1</v>
      </c>
      <c r="H37" s="35">
        <v>9.1999999999999993</v>
      </c>
      <c r="M37" s="35" t="b">
        <v>1</v>
      </c>
      <c r="N37" s="37"/>
      <c r="O37" s="37"/>
      <c r="P37" t="s">
        <v>377</v>
      </c>
      <c r="Q37" s="35" t="s">
        <v>355</v>
      </c>
      <c r="S37" t="s">
        <v>374</v>
      </c>
    </row>
    <row r="38" spans="1:19" x14ac:dyDescent="0.2">
      <c r="A38" s="35">
        <v>37</v>
      </c>
      <c r="B38" s="35" t="s">
        <v>404</v>
      </c>
      <c r="C38" s="35" t="s">
        <v>422</v>
      </c>
      <c r="D38" s="35" t="b">
        <v>0</v>
      </c>
      <c r="E38" s="35"/>
      <c r="F38" s="35"/>
      <c r="G38" s="35" t="b">
        <v>1</v>
      </c>
      <c r="H38" s="35">
        <v>9.1999999999999993</v>
      </c>
      <c r="M38" s="35" t="b">
        <v>1</v>
      </c>
      <c r="N38" s="37"/>
      <c r="O38" s="37"/>
      <c r="P38" t="s">
        <v>2</v>
      </c>
      <c r="Q38" s="35" t="s">
        <v>353</v>
      </c>
    </row>
    <row r="39" spans="1:19" x14ac:dyDescent="0.2">
      <c r="A39" s="35">
        <v>38</v>
      </c>
      <c r="B39" s="35" t="s">
        <v>405</v>
      </c>
      <c r="C39" s="35" t="s">
        <v>423</v>
      </c>
      <c r="D39" s="35" t="b">
        <v>0</v>
      </c>
      <c r="E39" s="35"/>
      <c r="F39" s="35"/>
      <c r="G39" s="35" t="b">
        <v>1</v>
      </c>
      <c r="H39" s="35">
        <v>9.1999999999999993</v>
      </c>
      <c r="M39" s="35" t="b">
        <v>1</v>
      </c>
      <c r="N39" s="37"/>
      <c r="O39" s="37"/>
      <c r="P39" t="s">
        <v>2</v>
      </c>
      <c r="Q39" s="52" t="s">
        <v>354</v>
      </c>
    </row>
    <row r="40" spans="1:19" x14ac:dyDescent="0.2">
      <c r="A40" s="35">
        <v>39</v>
      </c>
      <c r="B40" s="35" t="s">
        <v>406</v>
      </c>
      <c r="C40" s="35" t="s">
        <v>378</v>
      </c>
      <c r="D40" s="35" t="b">
        <v>0</v>
      </c>
      <c r="E40" s="35"/>
      <c r="F40" s="35"/>
      <c r="G40" s="35" t="b">
        <v>1</v>
      </c>
      <c r="H40" s="35">
        <v>9.1999999999999993</v>
      </c>
      <c r="M40" s="35" t="b">
        <v>1</v>
      </c>
      <c r="N40" s="37"/>
      <c r="O40" s="37"/>
      <c r="P40" t="s">
        <v>2</v>
      </c>
      <c r="Q40" s="35" t="s">
        <v>380</v>
      </c>
    </row>
    <row r="41" spans="1:19" x14ac:dyDescent="0.2">
      <c r="A41" s="35">
        <v>40</v>
      </c>
      <c r="B41" s="35" t="s">
        <v>407</v>
      </c>
      <c r="C41" s="35" t="s">
        <v>379</v>
      </c>
      <c r="D41" s="35" t="b">
        <v>0</v>
      </c>
      <c r="E41" s="35"/>
      <c r="F41" s="35"/>
      <c r="G41" s="35" t="b">
        <v>1</v>
      </c>
      <c r="H41" s="35">
        <v>9.1999999999999993</v>
      </c>
      <c r="M41" s="35" t="b">
        <v>1</v>
      </c>
      <c r="N41" s="37"/>
      <c r="O41" s="37"/>
      <c r="P41" t="s">
        <v>373</v>
      </c>
      <c r="Q41" s="35" t="s">
        <v>355</v>
      </c>
    </row>
    <row r="42" spans="1:19" x14ac:dyDescent="0.2">
      <c r="A42" s="35">
        <v>41</v>
      </c>
      <c r="B42" s="35" t="s">
        <v>408</v>
      </c>
      <c r="C42" s="35" t="s">
        <v>350</v>
      </c>
      <c r="D42" s="35" t="b">
        <v>0</v>
      </c>
      <c r="E42" s="35"/>
      <c r="F42" s="35" t="s">
        <v>412</v>
      </c>
      <c r="G42" s="35" t="b">
        <v>1</v>
      </c>
      <c r="H42" s="35">
        <v>9.1999999999999993</v>
      </c>
      <c r="M42" s="35" t="b">
        <v>1</v>
      </c>
      <c r="N42" s="37"/>
      <c r="O42" s="37"/>
      <c r="P42" t="s">
        <v>373</v>
      </c>
      <c r="Q42" s="52" t="s">
        <v>354</v>
      </c>
      <c r="R42" t="s">
        <v>309</v>
      </c>
    </row>
    <row r="43" spans="1:19" x14ac:dyDescent="0.2">
      <c r="A43" s="35">
        <v>42</v>
      </c>
      <c r="B43" s="35">
        <v>9.3000000000000007</v>
      </c>
      <c r="C43" t="s">
        <v>235</v>
      </c>
      <c r="D43" s="35" t="b">
        <v>1</v>
      </c>
      <c r="E43" s="35"/>
      <c r="F43" s="35"/>
      <c r="G43" s="35"/>
      <c r="M43" s="35"/>
      <c r="N43" s="35"/>
      <c r="O43" s="35"/>
      <c r="Q43" s="35" t="s">
        <v>219</v>
      </c>
      <c r="S43" s="35"/>
    </row>
    <row r="44" spans="1:19" x14ac:dyDescent="0.2">
      <c r="A44" s="35">
        <v>43</v>
      </c>
      <c r="B44" s="35" t="s">
        <v>411</v>
      </c>
      <c r="C44" t="s">
        <v>236</v>
      </c>
      <c r="D44" s="54" t="b">
        <v>0</v>
      </c>
      <c r="E44" s="35" t="b">
        <v>1</v>
      </c>
      <c r="F44" t="s">
        <v>413</v>
      </c>
      <c r="G44" t="b">
        <v>1</v>
      </c>
      <c r="H44" s="35">
        <v>9.3000000000000007</v>
      </c>
      <c r="M44" t="b">
        <v>1</v>
      </c>
      <c r="P44" t="s">
        <v>373</v>
      </c>
      <c r="R44" t="s">
        <v>309</v>
      </c>
    </row>
    <row r="45" spans="1:19" x14ac:dyDescent="0.2">
      <c r="B45" s="35"/>
    </row>
  </sheetData>
  <conditionalFormatting sqref="D1 G3:G5 D2:E9 D16:E17 D15:F15 G15:G17 F1:G1 D18:F28 D33:D34 D44:G1048576 G7:G9 F33:F34">
    <cfRule type="cellIs" dxfId="219" priority="37" operator="equal">
      <formula>TRUE</formula>
    </cfRule>
  </conditionalFormatting>
  <conditionalFormatting sqref="D33:D34 D29:F31 D35:F41 D42:E42 F33:G34">
    <cfRule type="cellIs" dxfId="218" priority="36" operator="equal">
      <formula>TRUE</formula>
    </cfRule>
  </conditionalFormatting>
  <conditionalFormatting sqref="D43:F43">
    <cfRule type="cellIs" dxfId="216" priority="34" operator="equal">
      <formula>TRUE</formula>
    </cfRule>
  </conditionalFormatting>
  <conditionalFormatting sqref="G28">
    <cfRule type="cellIs" dxfId="215" priority="33" operator="equal">
      <formula>TRUE</formula>
    </cfRule>
  </conditionalFormatting>
  <conditionalFormatting sqref="G33">
    <cfRule type="cellIs" dxfId="214" priority="32" operator="equal">
      <formula>TRUE</formula>
    </cfRule>
  </conditionalFormatting>
  <conditionalFormatting sqref="G34">
    <cfRule type="cellIs" dxfId="213" priority="31" operator="equal">
      <formula>TRUE</formula>
    </cfRule>
  </conditionalFormatting>
  <conditionalFormatting sqref="G18:G28">
    <cfRule type="cellIs" dxfId="212" priority="30" operator="equal">
      <formula>TRUE</formula>
    </cfRule>
  </conditionalFormatting>
  <conditionalFormatting sqref="G15">
    <cfRule type="cellIs" dxfId="211" priority="29" operator="equal">
      <formula>TRUE</formula>
    </cfRule>
  </conditionalFormatting>
  <conditionalFormatting sqref="G29:G31">
    <cfRule type="cellIs" dxfId="210" priority="28" operator="equal">
      <formula>TRUE</formula>
    </cfRule>
  </conditionalFormatting>
  <conditionalFormatting sqref="G36">
    <cfRule type="cellIs" dxfId="209" priority="27" operator="equal">
      <formula>TRUE</formula>
    </cfRule>
  </conditionalFormatting>
  <conditionalFormatting sqref="G37:G41">
    <cfRule type="cellIs" dxfId="208" priority="26" operator="equal">
      <formula>TRUE</formula>
    </cfRule>
  </conditionalFormatting>
  <conditionalFormatting sqref="G42">
    <cfRule type="cellIs" dxfId="207" priority="25" operator="equal">
      <formula>TRUE</formula>
    </cfRule>
  </conditionalFormatting>
  <conditionalFormatting sqref="D32:G32">
    <cfRule type="cellIs" dxfId="206" priority="24" operator="equal">
      <formula>TRUE</formula>
    </cfRule>
  </conditionalFormatting>
  <conditionalFormatting sqref="G43">
    <cfRule type="cellIs" dxfId="205" priority="23" operator="equal">
      <formula>TRUE</formula>
    </cfRule>
  </conditionalFormatting>
  <conditionalFormatting sqref="G2">
    <cfRule type="cellIs" dxfId="204" priority="22" operator="equal">
      <formula>TRUE</formula>
    </cfRule>
  </conditionalFormatting>
  <conditionalFormatting sqref="O2">
    <cfRule type="cellIs" dxfId="203" priority="21" operator="equal">
      <formula>TRUE</formula>
    </cfRule>
  </conditionalFormatting>
  <conditionalFormatting sqref="O6">
    <cfRule type="cellIs" dxfId="202" priority="20" operator="equal">
      <formula>TRUE</formula>
    </cfRule>
  </conditionalFormatting>
  <conditionalFormatting sqref="G6">
    <cfRule type="cellIs" dxfId="201" priority="19" operator="equal">
      <formula>TRUE</formula>
    </cfRule>
  </conditionalFormatting>
  <conditionalFormatting sqref="G35">
    <cfRule type="cellIs" dxfId="200" priority="18" operator="equal">
      <formula>TRUE</formula>
    </cfRule>
  </conditionalFormatting>
  <conditionalFormatting sqref="O35">
    <cfRule type="cellIs" dxfId="199" priority="17" operator="equal">
      <formula>TRUE</formula>
    </cfRule>
  </conditionalFormatting>
  <conditionalFormatting sqref="O29">
    <cfRule type="cellIs" dxfId="198" priority="16" operator="equal">
      <formula>TRUE</formula>
    </cfRule>
  </conditionalFormatting>
  <conditionalFormatting sqref="O15">
    <cfRule type="cellIs" dxfId="197" priority="15" operator="equal">
      <formula>TRUE</formula>
    </cfRule>
  </conditionalFormatting>
  <conditionalFormatting sqref="O15">
    <cfRule type="cellIs" dxfId="196" priority="14" operator="equal">
      <formula>TRUE</formula>
    </cfRule>
  </conditionalFormatting>
  <conditionalFormatting sqref="E1">
    <cfRule type="cellIs" dxfId="195" priority="13" operator="equal">
      <formula>TRUE</formula>
    </cfRule>
  </conditionalFormatting>
  <conditionalFormatting sqref="E33:E34">
    <cfRule type="cellIs" dxfId="193" priority="11" operator="equal">
      <formula>TRUE</formula>
    </cfRule>
  </conditionalFormatting>
  <conditionalFormatting sqref="E33">
    <cfRule type="cellIs" dxfId="192" priority="10" operator="equal">
      <formula>TRUE</formula>
    </cfRule>
  </conditionalFormatting>
  <conditionalFormatting sqref="D12:G12 D10:E11 D13:E13 G13 G10:G11 D14:G14">
    <cfRule type="cellIs" dxfId="191" priority="9" operator="equal">
      <formula>TRUE</formula>
    </cfRule>
  </conditionalFormatting>
  <conditionalFormatting sqref="I10">
    <cfRule type="cellIs" dxfId="189" priority="7" operator="equal">
      <formula>TRUE</formula>
    </cfRule>
  </conditionalFormatting>
  <conditionalFormatting sqref="O10">
    <cfRule type="cellIs" dxfId="186" priority="4" operator="equal">
      <formula>TRUE</formula>
    </cfRule>
  </conditionalFormatting>
  <conditionalFormatting sqref="J10">
    <cfRule type="cellIs" dxfId="185" priority="3" operator="equal">
      <formula>TRUE</formula>
    </cfRule>
  </conditionalFormatting>
  <conditionalFormatting sqref="O11">
    <cfRule type="cellIs" dxfId="184" priority="2" operator="equal">
      <formula>TRUE</formula>
    </cfRule>
  </conditionalFormatting>
  <conditionalFormatting sqref="O13">
    <cfRule type="cellIs" dxfId="183" priority="1" operator="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5C8B1-D4E6-0B40-8FE1-97EA0F79C61F}">
  <dimension ref="A1:P42"/>
  <sheetViews>
    <sheetView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P6" sqref="P6"/>
    </sheetView>
  </sheetViews>
  <sheetFormatPr baseColWidth="10" defaultRowHeight="16" x14ac:dyDescent="0.2"/>
  <cols>
    <col min="1" max="1" width="5.5" bestFit="1" customWidth="1"/>
    <col min="2" max="2" width="10.5" style="29" bestFit="1" customWidth="1"/>
    <col min="3" max="3" width="30.1640625" customWidth="1"/>
    <col min="4" max="5" width="26.33203125" customWidth="1"/>
    <col min="6" max="6" width="15.1640625" bestFit="1" customWidth="1"/>
    <col min="7" max="7" width="26.33203125" customWidth="1"/>
    <col min="8" max="8" width="13.6640625" bestFit="1" customWidth="1"/>
    <col min="9" max="9" width="7.83203125" bestFit="1" customWidth="1"/>
    <col min="10" max="10" width="12.5" bestFit="1" customWidth="1"/>
    <col min="11" max="11" width="7.1640625" customWidth="1"/>
    <col min="12" max="12" width="13.6640625" bestFit="1" customWidth="1"/>
    <col min="13" max="13" width="14.6640625" bestFit="1" customWidth="1"/>
    <col min="14" max="14" width="11.5" bestFit="1" customWidth="1"/>
    <col min="15" max="15" width="7.5" bestFit="1" customWidth="1"/>
    <col min="16" max="16" width="84.83203125" bestFit="1" customWidth="1"/>
  </cols>
  <sheetData>
    <row r="1" spans="1:16" ht="24" x14ac:dyDescent="0.4">
      <c r="A1" s="35" t="s">
        <v>162</v>
      </c>
      <c r="B1" s="35" t="s">
        <v>163</v>
      </c>
      <c r="C1" s="35" t="s">
        <v>0</v>
      </c>
      <c r="D1" s="36" t="s">
        <v>188</v>
      </c>
      <c r="E1" s="33" t="s">
        <v>421</v>
      </c>
      <c r="F1" s="36" t="s">
        <v>367</v>
      </c>
      <c r="G1" s="36" t="s">
        <v>370</v>
      </c>
      <c r="H1" s="36" t="s">
        <v>225</v>
      </c>
      <c r="I1" s="36" t="s">
        <v>195</v>
      </c>
      <c r="J1" s="36" t="s">
        <v>189</v>
      </c>
      <c r="K1" s="35" t="s">
        <v>1</v>
      </c>
      <c r="L1" s="35" t="s">
        <v>398</v>
      </c>
      <c r="M1" s="35" t="s">
        <v>209</v>
      </c>
      <c r="N1" s="35" t="s">
        <v>212</v>
      </c>
      <c r="O1" s="35" t="s">
        <v>165</v>
      </c>
      <c r="P1" s="35" t="s">
        <v>164</v>
      </c>
    </row>
    <row r="2" spans="1:16" x14ac:dyDescent="0.2">
      <c r="A2" s="35">
        <v>1</v>
      </c>
      <c r="B2" s="35">
        <v>1.1000000000000001</v>
      </c>
      <c r="C2" s="35" t="s">
        <v>4</v>
      </c>
      <c r="D2" s="35" t="b">
        <v>1</v>
      </c>
      <c r="E2" s="35"/>
      <c r="F2" s="35" t="s">
        <v>253</v>
      </c>
      <c r="G2" s="35" t="b">
        <v>1</v>
      </c>
      <c r="H2" s="35"/>
      <c r="I2" s="35"/>
      <c r="J2" s="35"/>
      <c r="K2" s="37">
        <v>950</v>
      </c>
      <c r="L2" s="35" t="b">
        <v>1</v>
      </c>
      <c r="M2" s="35"/>
      <c r="N2" s="35" t="s">
        <v>213</v>
      </c>
      <c r="O2" s="35" t="s">
        <v>166</v>
      </c>
      <c r="P2" s="35" t="s">
        <v>310</v>
      </c>
    </row>
    <row r="3" spans="1:16" x14ac:dyDescent="0.2">
      <c r="A3" s="35">
        <v>2</v>
      </c>
      <c r="B3" s="35" t="s">
        <v>192</v>
      </c>
      <c r="C3" s="35" t="s">
        <v>190</v>
      </c>
      <c r="D3" s="35" t="b">
        <v>0</v>
      </c>
      <c r="E3" s="35"/>
      <c r="F3" s="35"/>
      <c r="G3" s="35" t="b">
        <v>1</v>
      </c>
      <c r="H3" s="35">
        <v>1.1000000000000001</v>
      </c>
      <c r="I3" s="35">
        <v>1.1000000000000001</v>
      </c>
      <c r="J3" s="35" t="b">
        <v>1</v>
      </c>
      <c r="K3" s="37"/>
      <c r="L3" s="37"/>
      <c r="M3" s="35" t="s">
        <v>210</v>
      </c>
      <c r="N3" s="35" t="s">
        <v>213</v>
      </c>
      <c r="O3" s="35"/>
      <c r="P3" s="35"/>
    </row>
    <row r="4" spans="1:16" x14ac:dyDescent="0.2">
      <c r="A4" s="35">
        <v>3</v>
      </c>
      <c r="B4" s="35" t="s">
        <v>193</v>
      </c>
      <c r="C4" s="35" t="s">
        <v>97</v>
      </c>
      <c r="D4" s="35" t="b">
        <v>0</v>
      </c>
      <c r="E4" s="35"/>
      <c r="F4" s="35"/>
      <c r="G4" s="35" t="b">
        <v>1</v>
      </c>
      <c r="H4" s="35">
        <v>1.1000000000000001</v>
      </c>
      <c r="I4" s="35">
        <v>1.1000000000000001</v>
      </c>
      <c r="J4" s="35" t="b">
        <v>1</v>
      </c>
      <c r="K4" s="37"/>
      <c r="L4" s="37"/>
      <c r="M4" s="35" t="s">
        <v>210</v>
      </c>
      <c r="N4" s="35" t="s">
        <v>213</v>
      </c>
      <c r="O4" s="35"/>
      <c r="P4" s="35"/>
    </row>
    <row r="5" spans="1:16" x14ac:dyDescent="0.2">
      <c r="A5" s="35">
        <v>4</v>
      </c>
      <c r="B5" s="35" t="s">
        <v>194</v>
      </c>
      <c r="C5" s="35" t="s">
        <v>191</v>
      </c>
      <c r="D5" s="35" t="b">
        <v>0</v>
      </c>
      <c r="E5" s="35"/>
      <c r="F5" s="35"/>
      <c r="G5" s="35" t="b">
        <v>1</v>
      </c>
      <c r="H5" s="35">
        <v>1.1000000000000001</v>
      </c>
      <c r="I5" s="35">
        <v>1.1000000000000001</v>
      </c>
      <c r="J5" s="35" t="b">
        <v>1</v>
      </c>
      <c r="K5" s="37"/>
      <c r="L5" s="37"/>
      <c r="M5" s="35" t="s">
        <v>210</v>
      </c>
      <c r="N5" s="35" t="s">
        <v>213</v>
      </c>
      <c r="O5" s="35"/>
      <c r="P5" s="35"/>
    </row>
    <row r="6" spans="1:16" x14ac:dyDescent="0.2">
      <c r="A6" s="35">
        <v>5</v>
      </c>
      <c r="B6" s="35">
        <v>1.2</v>
      </c>
      <c r="C6" s="35" t="s">
        <v>6</v>
      </c>
      <c r="D6" s="35" t="b">
        <v>1</v>
      </c>
      <c r="E6" s="35"/>
      <c r="F6" s="35" t="s">
        <v>253</v>
      </c>
      <c r="G6" s="35" t="b">
        <v>1</v>
      </c>
      <c r="H6" s="35"/>
      <c r="I6" s="35"/>
      <c r="J6" s="35"/>
      <c r="K6" s="37">
        <v>700</v>
      </c>
      <c r="L6" s="35" t="b">
        <v>1</v>
      </c>
      <c r="M6" s="35"/>
      <c r="N6" s="35" t="s">
        <v>213</v>
      </c>
      <c r="O6" s="35" t="s">
        <v>166</v>
      </c>
      <c r="P6" s="35" t="s">
        <v>311</v>
      </c>
    </row>
    <row r="7" spans="1:16" x14ac:dyDescent="0.2">
      <c r="A7" s="35">
        <v>6</v>
      </c>
      <c r="B7" s="35" t="s">
        <v>196</v>
      </c>
      <c r="C7" s="35" t="s">
        <v>190</v>
      </c>
      <c r="D7" s="35" t="b">
        <v>0</v>
      </c>
      <c r="E7" s="35"/>
      <c r="F7" s="35"/>
      <c r="G7" s="35" t="b">
        <v>1</v>
      </c>
      <c r="H7" s="35">
        <v>1.2</v>
      </c>
      <c r="I7" s="35">
        <v>1.2</v>
      </c>
      <c r="J7" s="35" t="b">
        <v>1</v>
      </c>
      <c r="K7" s="37"/>
      <c r="L7" s="37"/>
      <c r="M7" s="35" t="s">
        <v>210</v>
      </c>
      <c r="N7" s="35" t="s">
        <v>213</v>
      </c>
      <c r="O7" s="35"/>
      <c r="P7" s="35"/>
    </row>
    <row r="8" spans="1:16" x14ac:dyDescent="0.2">
      <c r="A8" s="35">
        <v>7</v>
      </c>
      <c r="B8" s="35" t="s">
        <v>197</v>
      </c>
      <c r="C8" s="35" t="s">
        <v>97</v>
      </c>
      <c r="D8" s="35" t="b">
        <v>0</v>
      </c>
      <c r="E8" s="35"/>
      <c r="F8" s="35"/>
      <c r="G8" s="35" t="b">
        <v>1</v>
      </c>
      <c r="H8" s="35">
        <v>1.2</v>
      </c>
      <c r="I8" s="35">
        <v>1.2</v>
      </c>
      <c r="J8" s="35" t="b">
        <v>1</v>
      </c>
      <c r="K8" s="37"/>
      <c r="L8" s="37"/>
      <c r="M8" s="35" t="s">
        <v>210</v>
      </c>
      <c r="N8" s="35" t="s">
        <v>213</v>
      </c>
      <c r="O8" s="35"/>
      <c r="P8" s="35"/>
    </row>
    <row r="9" spans="1:16" x14ac:dyDescent="0.2">
      <c r="A9" s="35">
        <v>8</v>
      </c>
      <c r="B9" s="35" t="s">
        <v>198</v>
      </c>
      <c r="C9" s="35" t="s">
        <v>191</v>
      </c>
      <c r="D9" s="35" t="b">
        <v>0</v>
      </c>
      <c r="E9" s="35"/>
      <c r="F9" s="35"/>
      <c r="G9" s="35" t="b">
        <v>1</v>
      </c>
      <c r="H9" s="35">
        <v>1.2</v>
      </c>
      <c r="I9" s="35">
        <v>1.2</v>
      </c>
      <c r="J9" s="35" t="b">
        <v>1</v>
      </c>
      <c r="K9" s="37"/>
      <c r="L9" s="37"/>
      <c r="M9" s="35" t="s">
        <v>210</v>
      </c>
      <c r="N9" s="35" t="s">
        <v>213</v>
      </c>
      <c r="O9" s="35"/>
      <c r="P9" s="35"/>
    </row>
    <row r="10" spans="1:16" x14ac:dyDescent="0.2">
      <c r="A10" s="35">
        <v>9</v>
      </c>
      <c r="B10" s="35">
        <v>1.3</v>
      </c>
      <c r="C10" s="35" t="s">
        <v>43</v>
      </c>
      <c r="D10" s="35" t="b">
        <v>1</v>
      </c>
      <c r="E10" s="35"/>
      <c r="F10" s="35"/>
      <c r="G10" s="35" t="b">
        <v>1</v>
      </c>
      <c r="H10" s="35"/>
      <c r="I10" s="35"/>
      <c r="J10" s="35"/>
      <c r="K10" s="37"/>
      <c r="L10" s="35" t="b">
        <v>1</v>
      </c>
      <c r="M10" s="35"/>
      <c r="N10" s="35" t="s">
        <v>214</v>
      </c>
      <c r="O10" s="35"/>
      <c r="P10" s="35"/>
    </row>
    <row r="11" spans="1:16" x14ac:dyDescent="0.2">
      <c r="A11" s="35">
        <v>10</v>
      </c>
      <c r="B11" s="35" t="s">
        <v>364</v>
      </c>
      <c r="C11" s="35" t="s">
        <v>43</v>
      </c>
      <c r="D11" s="35" t="b">
        <v>0</v>
      </c>
      <c r="E11" s="35"/>
      <c r="F11" s="35" t="s">
        <v>37</v>
      </c>
      <c r="G11" s="35" t="b">
        <v>1</v>
      </c>
      <c r="H11" s="35">
        <v>1.3</v>
      </c>
      <c r="I11" s="35"/>
      <c r="J11" s="35" t="b">
        <v>1</v>
      </c>
      <c r="K11" s="37">
        <v>50</v>
      </c>
      <c r="L11" s="37"/>
      <c r="M11" s="35" t="s">
        <v>210</v>
      </c>
      <c r="N11" s="35" t="s">
        <v>214</v>
      </c>
      <c r="O11" s="35" t="s">
        <v>166</v>
      </c>
      <c r="P11" s="35" t="s">
        <v>314</v>
      </c>
    </row>
    <row r="12" spans="1:16" ht="16" customHeight="1" x14ac:dyDescent="0.2">
      <c r="A12" s="35">
        <v>11</v>
      </c>
      <c r="B12" s="35">
        <v>1.4</v>
      </c>
      <c r="C12" s="35" t="s">
        <v>44</v>
      </c>
      <c r="D12" s="35" t="b">
        <v>1</v>
      </c>
      <c r="E12" s="35"/>
      <c r="F12" s="35"/>
      <c r="G12" s="35" t="b">
        <v>1</v>
      </c>
      <c r="H12" s="35"/>
      <c r="I12" s="35"/>
      <c r="J12" s="35"/>
      <c r="K12" s="37"/>
      <c r="L12" s="35" t="b">
        <v>1</v>
      </c>
      <c r="M12" s="35"/>
      <c r="N12" s="35" t="s">
        <v>2</v>
      </c>
      <c r="O12" s="35"/>
      <c r="P12" s="35" t="s">
        <v>348</v>
      </c>
    </row>
    <row r="13" spans="1:16" x14ac:dyDescent="0.2">
      <c r="A13" s="35">
        <v>12</v>
      </c>
      <c r="B13" s="35" t="s">
        <v>45</v>
      </c>
      <c r="C13" s="35" t="s">
        <v>9</v>
      </c>
      <c r="D13" s="35" t="b">
        <v>0</v>
      </c>
      <c r="E13" s="35"/>
      <c r="F13" s="35" t="s">
        <v>417</v>
      </c>
      <c r="G13" s="35" t="b">
        <v>1</v>
      </c>
      <c r="H13" s="35">
        <v>1.4</v>
      </c>
      <c r="I13" s="35"/>
      <c r="J13" s="35" t="b">
        <v>1</v>
      </c>
      <c r="K13" s="37">
        <v>600</v>
      </c>
      <c r="L13" s="37"/>
      <c r="M13" s="35" t="s">
        <v>211</v>
      </c>
      <c r="N13" s="35" t="s">
        <v>2</v>
      </c>
      <c r="O13" s="35" t="s">
        <v>166</v>
      </c>
      <c r="P13" s="35" t="s">
        <v>312</v>
      </c>
    </row>
    <row r="14" spans="1:16" x14ac:dyDescent="0.2">
      <c r="A14" s="35">
        <v>13</v>
      </c>
      <c r="B14" s="35" t="s">
        <v>46</v>
      </c>
      <c r="C14" s="35" t="s">
        <v>10</v>
      </c>
      <c r="D14" s="35" t="b">
        <v>0</v>
      </c>
      <c r="E14" s="35"/>
      <c r="F14" s="35" t="s">
        <v>7</v>
      </c>
      <c r="G14" s="35" t="b">
        <v>1</v>
      </c>
      <c r="H14" s="35">
        <v>1.4</v>
      </c>
      <c r="I14" s="35"/>
      <c r="J14" s="35" t="b">
        <v>1</v>
      </c>
      <c r="K14" s="37">
        <v>1200</v>
      </c>
      <c r="L14" s="37"/>
      <c r="M14" s="35" t="s">
        <v>211</v>
      </c>
      <c r="N14" s="35" t="s">
        <v>2</v>
      </c>
      <c r="O14" s="35" t="s">
        <v>166</v>
      </c>
      <c r="P14" s="35" t="s">
        <v>313</v>
      </c>
    </row>
    <row r="15" spans="1:16" x14ac:dyDescent="0.2">
      <c r="A15" s="35">
        <v>14</v>
      </c>
      <c r="B15" s="35">
        <v>1.5</v>
      </c>
      <c r="C15" s="35" t="s">
        <v>50</v>
      </c>
      <c r="D15" s="35" t="b">
        <v>0</v>
      </c>
      <c r="E15" s="35" t="b">
        <v>1</v>
      </c>
      <c r="F15" s="35"/>
      <c r="G15" s="35" t="b">
        <v>1</v>
      </c>
      <c r="H15" s="35"/>
      <c r="I15" s="35"/>
      <c r="J15" s="35" t="b">
        <v>1</v>
      </c>
      <c r="K15" s="37">
        <v>300</v>
      </c>
      <c r="L15" s="37"/>
      <c r="M15" s="35" t="s">
        <v>375</v>
      </c>
      <c r="N15" s="35" t="s">
        <v>216</v>
      </c>
      <c r="O15" s="35" t="s">
        <v>167</v>
      </c>
      <c r="P15" s="35" t="s">
        <v>318</v>
      </c>
    </row>
    <row r="16" spans="1:16" x14ac:dyDescent="0.2">
      <c r="A16" s="35">
        <v>15</v>
      </c>
      <c r="B16" s="35">
        <v>1.6</v>
      </c>
      <c r="C16" s="35" t="s">
        <v>51</v>
      </c>
      <c r="D16" s="35" t="b">
        <v>0</v>
      </c>
      <c r="E16" s="35" t="b">
        <v>1</v>
      </c>
      <c r="F16" s="35"/>
      <c r="G16" s="35" t="b">
        <v>1</v>
      </c>
      <c r="H16" s="35"/>
      <c r="I16" s="35"/>
      <c r="J16" s="35" t="b">
        <v>1</v>
      </c>
      <c r="K16" s="37">
        <v>1500</v>
      </c>
      <c r="L16" s="37"/>
      <c r="M16" s="35" t="s">
        <v>224</v>
      </c>
      <c r="N16" s="35" t="s">
        <v>217</v>
      </c>
      <c r="O16" s="35" t="s">
        <v>167</v>
      </c>
      <c r="P16" s="35" t="s">
        <v>347</v>
      </c>
    </row>
    <row r="17" spans="1:16" x14ac:dyDescent="0.2">
      <c r="A17" s="35">
        <v>16</v>
      </c>
      <c r="B17" s="35">
        <v>1.7</v>
      </c>
      <c r="C17" s="35" t="s">
        <v>200</v>
      </c>
      <c r="D17" s="35" t="b">
        <v>0</v>
      </c>
      <c r="E17" s="35" t="b">
        <v>1</v>
      </c>
      <c r="F17" s="35"/>
      <c r="G17" s="35" t="b">
        <v>1</v>
      </c>
      <c r="H17" s="35"/>
      <c r="I17" s="35"/>
      <c r="J17" s="35" t="b">
        <v>1</v>
      </c>
      <c r="K17" s="37"/>
      <c r="L17" s="37"/>
      <c r="M17" s="35" t="s">
        <v>5</v>
      </c>
      <c r="N17" s="35" t="s">
        <v>218</v>
      </c>
      <c r="O17" s="35"/>
      <c r="P17" s="35" t="s">
        <v>208</v>
      </c>
    </row>
    <row r="18" spans="1:16" x14ac:dyDescent="0.2">
      <c r="A18" s="35">
        <v>17</v>
      </c>
      <c r="B18" s="35">
        <v>1.8</v>
      </c>
      <c r="C18" s="35" t="s">
        <v>201</v>
      </c>
      <c r="D18" s="35" t="b">
        <v>0</v>
      </c>
      <c r="E18" s="35" t="b">
        <v>1</v>
      </c>
      <c r="F18" s="35"/>
      <c r="G18" s="35" t="b">
        <v>1</v>
      </c>
      <c r="H18" s="35"/>
      <c r="I18" s="35"/>
      <c r="J18" s="35" t="b">
        <v>1</v>
      </c>
      <c r="K18" s="37"/>
      <c r="L18" s="37"/>
      <c r="M18" t="s">
        <v>373</v>
      </c>
      <c r="N18" s="35" t="s">
        <v>219</v>
      </c>
      <c r="O18" s="35"/>
      <c r="P18" s="35" t="s">
        <v>208</v>
      </c>
    </row>
    <row r="19" spans="1:16" x14ac:dyDescent="0.2">
      <c r="A19" s="35">
        <v>18</v>
      </c>
      <c r="B19" s="35">
        <v>1.9</v>
      </c>
      <c r="C19" s="35" t="s">
        <v>202</v>
      </c>
      <c r="D19" s="35" t="b">
        <v>0</v>
      </c>
      <c r="E19" s="35" t="b">
        <v>1</v>
      </c>
      <c r="F19" s="35"/>
      <c r="G19" s="35" t="b">
        <v>1</v>
      </c>
      <c r="H19" s="35"/>
      <c r="I19" s="35"/>
      <c r="J19" s="35" t="b">
        <v>1</v>
      </c>
      <c r="K19" s="37"/>
      <c r="L19" s="37"/>
      <c r="M19" t="s">
        <v>373</v>
      </c>
      <c r="N19" s="35" t="s">
        <v>220</v>
      </c>
      <c r="O19" s="35"/>
      <c r="P19" s="35" t="s">
        <v>208</v>
      </c>
    </row>
    <row r="20" spans="1:16" x14ac:dyDescent="0.2">
      <c r="A20" s="35">
        <v>19</v>
      </c>
      <c r="B20" s="35">
        <v>1.1100000000000001</v>
      </c>
      <c r="C20" s="35" t="s">
        <v>203</v>
      </c>
      <c r="D20" s="35" t="b">
        <v>0</v>
      </c>
      <c r="E20" s="35" t="b">
        <v>1</v>
      </c>
      <c r="F20" s="35"/>
      <c r="G20" s="35" t="b">
        <v>1</v>
      </c>
      <c r="H20" s="35"/>
      <c r="I20" s="35"/>
      <c r="J20" s="35" t="b">
        <v>1</v>
      </c>
      <c r="K20" s="37"/>
      <c r="L20" s="37"/>
      <c r="M20" t="s">
        <v>373</v>
      </c>
      <c r="N20" s="35" t="s">
        <v>221</v>
      </c>
      <c r="O20" s="35"/>
      <c r="P20" s="35" t="s">
        <v>208</v>
      </c>
    </row>
    <row r="21" spans="1:16" x14ac:dyDescent="0.2">
      <c r="A21" s="35">
        <v>20</v>
      </c>
      <c r="B21" s="35">
        <v>1.1200000000000001</v>
      </c>
      <c r="C21" s="35" t="s">
        <v>204</v>
      </c>
      <c r="D21" s="35" t="b">
        <v>0</v>
      </c>
      <c r="E21" s="35" t="b">
        <v>1</v>
      </c>
      <c r="F21" s="35"/>
      <c r="G21" s="35" t="b">
        <v>1</v>
      </c>
      <c r="H21" s="35"/>
      <c r="I21" s="35"/>
      <c r="J21" s="35" t="b">
        <v>1</v>
      </c>
      <c r="K21" s="37"/>
      <c r="L21" s="37"/>
      <c r="M21" t="s">
        <v>373</v>
      </c>
      <c r="N21" s="35" t="s">
        <v>221</v>
      </c>
      <c r="O21" s="35"/>
      <c r="P21" s="35" t="s">
        <v>208</v>
      </c>
    </row>
    <row r="22" spans="1:16" x14ac:dyDescent="0.2">
      <c r="A22" s="35">
        <v>21</v>
      </c>
      <c r="B22" s="35">
        <v>1.1299999999999999</v>
      </c>
      <c r="C22" s="35" t="s">
        <v>205</v>
      </c>
      <c r="D22" s="35" t="b">
        <v>0</v>
      </c>
      <c r="E22" s="35" t="b">
        <v>1</v>
      </c>
      <c r="F22" s="35"/>
      <c r="G22" s="35" t="b">
        <v>1</v>
      </c>
      <c r="H22" s="35"/>
      <c r="I22" s="35"/>
      <c r="J22" s="35" t="b">
        <v>1</v>
      </c>
      <c r="K22" s="37"/>
      <c r="L22" s="37"/>
      <c r="M22" s="35" t="s">
        <v>376</v>
      </c>
      <c r="N22" s="35" t="s">
        <v>222</v>
      </c>
      <c r="O22" s="35"/>
      <c r="P22" s="35" t="s">
        <v>208</v>
      </c>
    </row>
    <row r="23" spans="1:16" x14ac:dyDescent="0.2">
      <c r="A23" s="35">
        <v>22</v>
      </c>
      <c r="B23" s="35">
        <v>1.1399999999999999</v>
      </c>
      <c r="C23" s="35" t="s">
        <v>206</v>
      </c>
      <c r="D23" s="35" t="b">
        <v>0</v>
      </c>
      <c r="E23" s="35" t="b">
        <v>1</v>
      </c>
      <c r="F23" s="35"/>
      <c r="G23" s="35" t="b">
        <v>1</v>
      </c>
      <c r="H23" s="35"/>
      <c r="I23" s="35"/>
      <c r="J23" s="35" t="b">
        <v>1</v>
      </c>
      <c r="K23" s="37"/>
      <c r="L23" s="37"/>
      <c r="M23" t="s">
        <v>373</v>
      </c>
      <c r="N23" s="35" t="s">
        <v>223</v>
      </c>
      <c r="O23" s="35"/>
      <c r="P23" s="35" t="s">
        <v>208</v>
      </c>
    </row>
    <row r="24" spans="1:16" x14ac:dyDescent="0.2">
      <c r="A24" s="35">
        <v>23</v>
      </c>
      <c r="B24" s="35">
        <v>1.1499999999999999</v>
      </c>
      <c r="C24" s="35" t="s">
        <v>207</v>
      </c>
      <c r="D24" s="35" t="b">
        <v>0</v>
      </c>
      <c r="E24" s="35" t="b">
        <v>1</v>
      </c>
      <c r="F24" s="35"/>
      <c r="G24" s="35" t="b">
        <v>1</v>
      </c>
      <c r="H24" s="35"/>
      <c r="I24" s="35"/>
      <c r="J24" s="35" t="b">
        <v>1</v>
      </c>
      <c r="K24" s="37"/>
      <c r="L24" s="37"/>
      <c r="M24" s="35" t="s">
        <v>5</v>
      </c>
      <c r="N24" s="35" t="s">
        <v>219</v>
      </c>
      <c r="O24" s="35"/>
      <c r="P24" s="35" t="s">
        <v>208</v>
      </c>
    </row>
    <row r="25" spans="1:16" x14ac:dyDescent="0.2">
      <c r="A25" s="35">
        <v>24</v>
      </c>
      <c r="B25" s="35">
        <v>1.1599999999999999</v>
      </c>
      <c r="C25" t="s">
        <v>263</v>
      </c>
      <c r="D25" s="35" t="b">
        <v>0</v>
      </c>
      <c r="E25" s="35" t="b">
        <v>1</v>
      </c>
      <c r="F25" s="35"/>
      <c r="G25" s="35" t="b">
        <v>1</v>
      </c>
      <c r="H25" s="35"/>
      <c r="J25" s="35" t="b">
        <v>1</v>
      </c>
      <c r="K25" s="35"/>
      <c r="L25" s="35"/>
      <c r="M25" t="s">
        <v>373</v>
      </c>
      <c r="N25" s="35" t="s">
        <v>356</v>
      </c>
      <c r="P25" s="35" t="s">
        <v>232</v>
      </c>
    </row>
    <row r="26" spans="1:16" x14ac:dyDescent="0.2">
      <c r="A26" s="35">
        <v>25</v>
      </c>
      <c r="B26" s="35">
        <v>1.17</v>
      </c>
      <c r="C26" t="s">
        <v>215</v>
      </c>
      <c r="D26" s="35" t="b">
        <v>1</v>
      </c>
      <c r="E26" s="35"/>
      <c r="F26" s="35"/>
      <c r="G26" s="35" t="b">
        <v>1</v>
      </c>
      <c r="H26" s="35"/>
      <c r="K26" s="37"/>
      <c r="L26" s="35" t="b">
        <v>1</v>
      </c>
      <c r="N26" s="35" t="s">
        <v>351</v>
      </c>
    </row>
    <row r="27" spans="1:16" x14ac:dyDescent="0.2">
      <c r="A27" s="35">
        <v>26</v>
      </c>
      <c r="B27" s="35" t="s">
        <v>280</v>
      </c>
      <c r="C27" s="35" t="s">
        <v>234</v>
      </c>
      <c r="D27" s="35" t="b">
        <v>0</v>
      </c>
      <c r="E27" s="35"/>
      <c r="F27" s="35" t="s">
        <v>418</v>
      </c>
      <c r="G27" s="35" t="b">
        <v>1</v>
      </c>
      <c r="H27" s="35">
        <v>1.17</v>
      </c>
      <c r="J27" s="35" t="b">
        <v>1</v>
      </c>
      <c r="K27" s="37">
        <v>1450</v>
      </c>
      <c r="L27" s="37"/>
      <c r="M27" t="s">
        <v>416</v>
      </c>
      <c r="N27" s="35" t="s">
        <v>351</v>
      </c>
      <c r="P27" s="35" t="s">
        <v>346</v>
      </c>
    </row>
    <row r="28" spans="1:16" x14ac:dyDescent="0.2">
      <c r="A28" s="35">
        <v>27</v>
      </c>
      <c r="B28" s="35" t="s">
        <v>281</v>
      </c>
      <c r="C28" s="35" t="s">
        <v>279</v>
      </c>
      <c r="D28" s="35" t="b">
        <v>0</v>
      </c>
      <c r="E28" s="35"/>
      <c r="F28" s="35" t="s">
        <v>419</v>
      </c>
      <c r="G28" s="35" t="b">
        <v>1</v>
      </c>
      <c r="H28" s="35">
        <v>1.17</v>
      </c>
      <c r="J28" s="35" t="b">
        <v>1</v>
      </c>
      <c r="K28" s="37">
        <v>900</v>
      </c>
      <c r="L28" s="37"/>
      <c r="M28" t="s">
        <v>416</v>
      </c>
      <c r="N28" s="35" t="s">
        <v>351</v>
      </c>
      <c r="P28" s="35" t="s">
        <v>319</v>
      </c>
    </row>
    <row r="29" spans="1:16" x14ac:dyDescent="0.2">
      <c r="A29" s="35">
        <v>28</v>
      </c>
      <c r="B29" s="35">
        <v>1.18</v>
      </c>
      <c r="C29" s="35" t="s">
        <v>372</v>
      </c>
      <c r="D29" s="35" t="b">
        <v>1</v>
      </c>
      <c r="E29" s="35"/>
      <c r="F29" s="35"/>
      <c r="G29" s="35"/>
      <c r="H29" s="35"/>
      <c r="J29" s="35"/>
      <c r="K29" s="35"/>
      <c r="L29" s="35"/>
      <c r="N29" s="35" t="s">
        <v>218</v>
      </c>
      <c r="P29" s="35"/>
    </row>
    <row r="30" spans="1:16" x14ac:dyDescent="0.2">
      <c r="A30" s="35">
        <v>29</v>
      </c>
      <c r="B30" s="35" t="s">
        <v>365</v>
      </c>
      <c r="C30" t="s">
        <v>264</v>
      </c>
      <c r="D30" s="35" t="b">
        <v>0</v>
      </c>
      <c r="E30" s="35" t="b">
        <v>1</v>
      </c>
      <c r="F30" s="35"/>
      <c r="G30" s="35" t="b">
        <v>1</v>
      </c>
      <c r="H30" s="35">
        <v>1.18</v>
      </c>
      <c r="J30" s="35" t="b">
        <v>1</v>
      </c>
      <c r="K30" s="35"/>
      <c r="L30" s="35"/>
      <c r="M30" t="s">
        <v>373</v>
      </c>
      <c r="N30" s="35" t="s">
        <v>357</v>
      </c>
      <c r="P30" s="35" t="s">
        <v>233</v>
      </c>
    </row>
    <row r="31" spans="1:16" x14ac:dyDescent="0.2">
      <c r="A31" s="35">
        <v>30</v>
      </c>
      <c r="B31" s="35" t="s">
        <v>366</v>
      </c>
      <c r="C31" t="s">
        <v>265</v>
      </c>
      <c r="D31" s="35" t="b">
        <v>0</v>
      </c>
      <c r="E31" s="35" t="b">
        <v>1</v>
      </c>
      <c r="F31" s="35"/>
      <c r="G31" s="35" t="b">
        <v>1</v>
      </c>
      <c r="H31" s="35">
        <v>1.18</v>
      </c>
      <c r="J31" s="35" t="b">
        <v>1</v>
      </c>
      <c r="K31" s="35"/>
      <c r="L31" s="35"/>
      <c r="M31" t="s">
        <v>373</v>
      </c>
      <c r="N31" s="35" t="s">
        <v>358</v>
      </c>
      <c r="P31" s="35" t="s">
        <v>233</v>
      </c>
    </row>
    <row r="32" spans="1:16" x14ac:dyDescent="0.2">
      <c r="A32" s="35">
        <v>31</v>
      </c>
      <c r="B32" s="35">
        <v>9.1999999999999993</v>
      </c>
      <c r="C32" s="35" t="s">
        <v>94</v>
      </c>
      <c r="D32" s="35" t="b">
        <v>1</v>
      </c>
      <c r="E32" s="35"/>
      <c r="F32" s="35"/>
      <c r="G32" s="35" t="b">
        <v>1</v>
      </c>
      <c r="K32" s="37"/>
      <c r="L32" s="35" t="b">
        <v>1</v>
      </c>
      <c r="N32" s="35" t="s">
        <v>353</v>
      </c>
    </row>
    <row r="33" spans="1:16" x14ac:dyDescent="0.2">
      <c r="A33" s="35">
        <v>32</v>
      </c>
      <c r="B33" s="35" t="s">
        <v>402</v>
      </c>
      <c r="C33" s="35" t="s">
        <v>276</v>
      </c>
      <c r="D33" s="35" t="b">
        <v>0</v>
      </c>
      <c r="E33" s="35"/>
      <c r="F33" s="35"/>
      <c r="G33" s="35" t="b">
        <v>1</v>
      </c>
      <c r="H33" s="35">
        <v>9.1999999999999993</v>
      </c>
      <c r="J33" s="35" t="b">
        <v>1</v>
      </c>
      <c r="K33" s="37"/>
      <c r="L33" s="37"/>
      <c r="M33" t="s">
        <v>2</v>
      </c>
      <c r="N33" t="s">
        <v>352</v>
      </c>
    </row>
    <row r="34" spans="1:16" x14ac:dyDescent="0.2">
      <c r="A34" s="35">
        <v>33</v>
      </c>
      <c r="B34" s="35" t="s">
        <v>403</v>
      </c>
      <c r="C34" s="35" t="s">
        <v>277</v>
      </c>
      <c r="D34" s="35" t="b">
        <v>0</v>
      </c>
      <c r="E34" s="35"/>
      <c r="F34" s="35"/>
      <c r="G34" s="35" t="b">
        <v>1</v>
      </c>
      <c r="H34" s="35">
        <v>9.1999999999999993</v>
      </c>
      <c r="J34" s="35" t="b">
        <v>1</v>
      </c>
      <c r="K34" s="37"/>
      <c r="L34" s="37"/>
      <c r="M34" t="s">
        <v>377</v>
      </c>
      <c r="N34" s="35" t="s">
        <v>355</v>
      </c>
      <c r="P34" t="s">
        <v>374</v>
      </c>
    </row>
    <row r="35" spans="1:16" x14ac:dyDescent="0.2">
      <c r="A35" s="35">
        <v>34</v>
      </c>
      <c r="B35" s="35" t="s">
        <v>404</v>
      </c>
      <c r="C35" s="35" t="s">
        <v>422</v>
      </c>
      <c r="D35" s="35" t="b">
        <v>0</v>
      </c>
      <c r="E35" s="35"/>
      <c r="F35" s="35"/>
      <c r="G35" s="35" t="b">
        <v>1</v>
      </c>
      <c r="H35" s="35">
        <v>9.1999999999999993</v>
      </c>
      <c r="J35" s="35" t="b">
        <v>1</v>
      </c>
      <c r="K35" s="37"/>
      <c r="L35" s="37"/>
      <c r="M35" t="s">
        <v>2</v>
      </c>
      <c r="N35" s="35" t="s">
        <v>353</v>
      </c>
    </row>
    <row r="36" spans="1:16" x14ac:dyDescent="0.2">
      <c r="A36" s="35">
        <v>35</v>
      </c>
      <c r="B36" s="35" t="s">
        <v>405</v>
      </c>
      <c r="C36" s="35" t="s">
        <v>423</v>
      </c>
      <c r="D36" s="35" t="b">
        <v>0</v>
      </c>
      <c r="E36" s="35"/>
      <c r="F36" s="35"/>
      <c r="G36" s="35" t="b">
        <v>1</v>
      </c>
      <c r="H36" s="35">
        <v>9.1999999999999993</v>
      </c>
      <c r="J36" s="35" t="b">
        <v>1</v>
      </c>
      <c r="K36" s="37"/>
      <c r="L36" s="37"/>
      <c r="M36" t="s">
        <v>2</v>
      </c>
      <c r="N36" s="52" t="s">
        <v>354</v>
      </c>
    </row>
    <row r="37" spans="1:16" x14ac:dyDescent="0.2">
      <c r="A37" s="35">
        <v>36</v>
      </c>
      <c r="B37" s="35" t="s">
        <v>406</v>
      </c>
      <c r="C37" s="35" t="s">
        <v>378</v>
      </c>
      <c r="D37" s="35" t="b">
        <v>0</v>
      </c>
      <c r="E37" s="35"/>
      <c r="F37" s="35"/>
      <c r="G37" s="35" t="b">
        <v>1</v>
      </c>
      <c r="H37" s="35">
        <v>9.1999999999999993</v>
      </c>
      <c r="J37" s="35" t="b">
        <v>1</v>
      </c>
      <c r="K37" s="37"/>
      <c r="L37" s="37"/>
      <c r="M37" t="s">
        <v>2</v>
      </c>
      <c r="N37" s="35" t="s">
        <v>380</v>
      </c>
    </row>
    <row r="38" spans="1:16" x14ac:dyDescent="0.2">
      <c r="A38" s="35">
        <v>37</v>
      </c>
      <c r="B38" s="35" t="s">
        <v>407</v>
      </c>
      <c r="C38" s="35" t="s">
        <v>379</v>
      </c>
      <c r="D38" s="35" t="b">
        <v>0</v>
      </c>
      <c r="E38" s="35"/>
      <c r="F38" s="35"/>
      <c r="G38" s="35" t="b">
        <v>1</v>
      </c>
      <c r="H38" s="35">
        <v>9.1999999999999993</v>
      </c>
      <c r="J38" s="35" t="b">
        <v>1</v>
      </c>
      <c r="K38" s="37"/>
      <c r="L38" s="37"/>
      <c r="M38" t="s">
        <v>373</v>
      </c>
      <c r="N38" s="35" t="s">
        <v>355</v>
      </c>
    </row>
    <row r="39" spans="1:16" x14ac:dyDescent="0.2">
      <c r="A39" s="35">
        <v>38</v>
      </c>
      <c r="B39" s="35" t="s">
        <v>408</v>
      </c>
      <c r="C39" s="35" t="s">
        <v>350</v>
      </c>
      <c r="D39" s="35" t="b">
        <v>0</v>
      </c>
      <c r="E39" s="35"/>
      <c r="F39" s="35" t="s">
        <v>412</v>
      </c>
      <c r="G39" s="35" t="b">
        <v>1</v>
      </c>
      <c r="H39" s="35">
        <v>9.1999999999999993</v>
      </c>
      <c r="J39" s="35" t="b">
        <v>1</v>
      </c>
      <c r="K39" s="37"/>
      <c r="L39" s="37"/>
      <c r="M39" t="s">
        <v>373</v>
      </c>
      <c r="N39" s="52" t="s">
        <v>354</v>
      </c>
      <c r="O39" t="s">
        <v>309</v>
      </c>
    </row>
    <row r="40" spans="1:16" x14ac:dyDescent="0.2">
      <c r="A40" s="35">
        <v>39</v>
      </c>
      <c r="B40" s="35">
        <v>9.3000000000000007</v>
      </c>
      <c r="C40" t="s">
        <v>235</v>
      </c>
      <c r="D40" s="35" t="b">
        <v>1</v>
      </c>
      <c r="E40" s="35"/>
      <c r="F40" s="35"/>
      <c r="G40" s="35"/>
      <c r="J40" s="35"/>
      <c r="K40" s="35"/>
      <c r="L40" s="35"/>
      <c r="N40" s="35" t="s">
        <v>219</v>
      </c>
      <c r="P40" s="35"/>
    </row>
    <row r="41" spans="1:16" x14ac:dyDescent="0.2">
      <c r="A41" s="35">
        <v>40</v>
      </c>
      <c r="B41" s="35" t="s">
        <v>411</v>
      </c>
      <c r="C41" t="s">
        <v>236</v>
      </c>
      <c r="D41" s="54" t="b">
        <v>0</v>
      </c>
      <c r="E41" s="35" t="b">
        <v>1</v>
      </c>
      <c r="F41" t="s">
        <v>413</v>
      </c>
      <c r="G41" t="b">
        <v>1</v>
      </c>
      <c r="H41" s="35">
        <v>9.3000000000000007</v>
      </c>
      <c r="J41" t="b">
        <v>1</v>
      </c>
      <c r="M41" t="s">
        <v>373</v>
      </c>
      <c r="O41" t="s">
        <v>309</v>
      </c>
    </row>
    <row r="42" spans="1:16" x14ac:dyDescent="0.2">
      <c r="B42" s="35"/>
    </row>
  </sheetData>
  <phoneticPr fontId="5" type="noConversion"/>
  <conditionalFormatting sqref="D1 G3:G5 D2:E9 D13:E14 D11:G11 D12:F12 G12:G14 F1:G1 D15:F25 D30:D31 D41:G1048576 G7:G10 F30:F31">
    <cfRule type="cellIs" dxfId="182" priority="31" operator="equal">
      <formula>TRUE</formula>
    </cfRule>
  </conditionalFormatting>
  <conditionalFormatting sqref="D30:D31 D26:F28 D32:F38 D39:E39 F30:G31">
    <cfRule type="cellIs" dxfId="181" priority="30" operator="equal">
      <formula>TRUE</formula>
    </cfRule>
  </conditionalFormatting>
  <conditionalFormatting sqref="D10:F10">
    <cfRule type="cellIs" dxfId="180" priority="29" operator="equal">
      <formula>TRUE</formula>
    </cfRule>
  </conditionalFormatting>
  <conditionalFormatting sqref="D40:F40">
    <cfRule type="cellIs" dxfId="179" priority="27" operator="equal">
      <formula>TRUE</formula>
    </cfRule>
  </conditionalFormatting>
  <conditionalFormatting sqref="G25">
    <cfRule type="cellIs" dxfId="178" priority="26" operator="equal">
      <formula>TRUE</formula>
    </cfRule>
  </conditionalFormatting>
  <conditionalFormatting sqref="G30">
    <cfRule type="cellIs" dxfId="177" priority="25" operator="equal">
      <formula>TRUE</formula>
    </cfRule>
  </conditionalFormatting>
  <conditionalFormatting sqref="G31">
    <cfRule type="cellIs" dxfId="176" priority="24" operator="equal">
      <formula>TRUE</formula>
    </cfRule>
  </conditionalFormatting>
  <conditionalFormatting sqref="G15:G25">
    <cfRule type="cellIs" dxfId="175" priority="23" operator="equal">
      <formula>TRUE</formula>
    </cfRule>
  </conditionalFormatting>
  <conditionalFormatting sqref="G10:G12">
    <cfRule type="cellIs" dxfId="174" priority="22" operator="equal">
      <formula>TRUE</formula>
    </cfRule>
  </conditionalFormatting>
  <conditionalFormatting sqref="G26:G28">
    <cfRule type="cellIs" dxfId="173" priority="21" operator="equal">
      <formula>TRUE</formula>
    </cfRule>
  </conditionalFormatting>
  <conditionalFormatting sqref="G33">
    <cfRule type="cellIs" dxfId="172" priority="20" operator="equal">
      <formula>TRUE</formula>
    </cfRule>
  </conditionalFormatting>
  <conditionalFormatting sqref="G34:G38">
    <cfRule type="cellIs" dxfId="171" priority="19" operator="equal">
      <formula>TRUE</formula>
    </cfRule>
  </conditionalFormatting>
  <conditionalFormatting sqref="G39">
    <cfRule type="cellIs" dxfId="170" priority="18" operator="equal">
      <formula>TRUE</formula>
    </cfRule>
  </conditionalFormatting>
  <conditionalFormatting sqref="D29:G29">
    <cfRule type="cellIs" dxfId="169" priority="17" operator="equal">
      <formula>TRUE</formula>
    </cfRule>
  </conditionalFormatting>
  <conditionalFormatting sqref="G40">
    <cfRule type="cellIs" dxfId="168" priority="16" operator="equal">
      <formula>TRUE</formula>
    </cfRule>
  </conditionalFormatting>
  <conditionalFormatting sqref="G2">
    <cfRule type="cellIs" dxfId="167" priority="15" operator="equal">
      <formula>TRUE</formula>
    </cfRule>
  </conditionalFormatting>
  <conditionalFormatting sqref="L2">
    <cfRule type="cellIs" dxfId="166" priority="14" operator="equal">
      <formula>TRUE</formula>
    </cfRule>
  </conditionalFormatting>
  <conditionalFormatting sqref="L6">
    <cfRule type="cellIs" dxfId="165" priority="13" operator="equal">
      <formula>TRUE</formula>
    </cfRule>
  </conditionalFormatting>
  <conditionalFormatting sqref="G6">
    <cfRule type="cellIs" dxfId="164" priority="12" operator="equal">
      <formula>TRUE</formula>
    </cfRule>
  </conditionalFormatting>
  <conditionalFormatting sqref="G32">
    <cfRule type="cellIs" dxfId="163" priority="11" operator="equal">
      <formula>TRUE</formula>
    </cfRule>
  </conditionalFormatting>
  <conditionalFormatting sqref="L32">
    <cfRule type="cellIs" dxfId="162" priority="10" operator="equal">
      <formula>TRUE</formula>
    </cfRule>
  </conditionalFormatting>
  <conditionalFormatting sqref="L26">
    <cfRule type="cellIs" dxfId="161" priority="9" operator="equal">
      <formula>TRUE</formula>
    </cfRule>
  </conditionalFormatting>
  <conditionalFormatting sqref="L12">
    <cfRule type="cellIs" dxfId="160" priority="6" operator="equal">
      <formula>TRUE</formula>
    </cfRule>
  </conditionalFormatting>
  <conditionalFormatting sqref="L12">
    <cfRule type="cellIs" dxfId="159" priority="5" operator="equal">
      <formula>TRUE</formula>
    </cfRule>
  </conditionalFormatting>
  <conditionalFormatting sqref="E1">
    <cfRule type="cellIs" dxfId="158" priority="4" operator="equal">
      <formula>TRUE</formula>
    </cfRule>
  </conditionalFormatting>
  <conditionalFormatting sqref="L10">
    <cfRule type="cellIs" dxfId="157" priority="3" operator="equal">
      <formula>TRUE</formula>
    </cfRule>
  </conditionalFormatting>
  <conditionalFormatting sqref="E30:E31">
    <cfRule type="cellIs" dxfId="156" priority="2" operator="equal">
      <formula>TRUE</formula>
    </cfRule>
  </conditionalFormatting>
  <conditionalFormatting sqref="E30">
    <cfRule type="cellIs" dxfId="155" priority="1" operator="equal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11DBC-70F7-FB46-947C-C0DD34E62302}">
  <dimension ref="A1:P4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M41" sqref="M41"/>
    </sheetView>
  </sheetViews>
  <sheetFormatPr baseColWidth="10" defaultRowHeight="16" x14ac:dyDescent="0.2"/>
  <cols>
    <col min="1" max="1" width="5.5" bestFit="1" customWidth="1"/>
    <col min="2" max="2" width="10.5" bestFit="1" customWidth="1"/>
    <col min="3" max="3" width="30.33203125" customWidth="1"/>
    <col min="4" max="4" width="26" customWidth="1"/>
    <col min="5" max="5" width="26.33203125" customWidth="1"/>
    <col min="6" max="6" width="15.1640625" bestFit="1" customWidth="1"/>
    <col min="7" max="7" width="26.33203125" customWidth="1"/>
    <col min="8" max="8" width="13.6640625" bestFit="1" customWidth="1"/>
    <col min="9" max="9" width="7.83203125" bestFit="1" customWidth="1"/>
    <col min="10" max="10" width="12.5" bestFit="1" customWidth="1"/>
    <col min="11" max="11" width="7" customWidth="1"/>
    <col min="12" max="12" width="13.6640625" bestFit="1" customWidth="1"/>
    <col min="13" max="13" width="14.6640625" bestFit="1" customWidth="1"/>
    <col min="14" max="14" width="11.5" bestFit="1" customWidth="1"/>
    <col min="15" max="15" width="7.5" bestFit="1" customWidth="1"/>
    <col min="16" max="16" width="84.83203125" bestFit="1" customWidth="1"/>
  </cols>
  <sheetData>
    <row r="1" spans="1:16" ht="24" x14ac:dyDescent="0.4">
      <c r="A1" s="35" t="s">
        <v>162</v>
      </c>
      <c r="B1" s="35" t="s">
        <v>163</v>
      </c>
      <c r="C1" s="35" t="s">
        <v>0</v>
      </c>
      <c r="D1" s="36" t="s">
        <v>188</v>
      </c>
      <c r="E1" s="33" t="s">
        <v>421</v>
      </c>
      <c r="F1" s="36" t="s">
        <v>367</v>
      </c>
      <c r="G1" s="36" t="s">
        <v>370</v>
      </c>
      <c r="H1" s="36" t="s">
        <v>225</v>
      </c>
      <c r="I1" s="36" t="s">
        <v>195</v>
      </c>
      <c r="J1" s="36" t="s">
        <v>189</v>
      </c>
      <c r="K1" s="35" t="s">
        <v>1</v>
      </c>
      <c r="L1" s="35" t="s">
        <v>398</v>
      </c>
      <c r="M1" s="35" t="s">
        <v>209</v>
      </c>
      <c r="N1" s="35" t="s">
        <v>212</v>
      </c>
      <c r="O1" s="35" t="s">
        <v>165</v>
      </c>
      <c r="P1" s="35" t="s">
        <v>164</v>
      </c>
    </row>
    <row r="2" spans="1:16" x14ac:dyDescent="0.2">
      <c r="A2" s="35">
        <v>1</v>
      </c>
      <c r="B2" s="35">
        <v>1.1000000000000001</v>
      </c>
      <c r="C2" s="35" t="s">
        <v>4</v>
      </c>
      <c r="D2" s="35" t="b">
        <v>1</v>
      </c>
      <c r="E2" s="35"/>
      <c r="F2" s="35" t="s">
        <v>253</v>
      </c>
      <c r="G2" s="35" t="b">
        <v>1</v>
      </c>
      <c r="H2" s="35"/>
      <c r="I2" s="35"/>
      <c r="J2" s="35"/>
      <c r="K2" s="35">
        <v>600</v>
      </c>
      <c r="L2" s="35" t="b">
        <v>1</v>
      </c>
      <c r="M2" s="35"/>
      <c r="N2" s="35" t="s">
        <v>213</v>
      </c>
      <c r="O2" s="35" t="s">
        <v>166</v>
      </c>
      <c r="P2" s="35" t="s">
        <v>315</v>
      </c>
    </row>
    <row r="3" spans="1:16" x14ac:dyDescent="0.2">
      <c r="A3" s="35">
        <v>2</v>
      </c>
      <c r="B3" s="35" t="s">
        <v>192</v>
      </c>
      <c r="C3" s="35" t="s">
        <v>190</v>
      </c>
      <c r="D3" s="35" t="b">
        <v>0</v>
      </c>
      <c r="E3" s="35"/>
      <c r="F3" s="35"/>
      <c r="G3" s="35" t="b">
        <v>1</v>
      </c>
      <c r="H3" s="35">
        <v>1.1000000000000001</v>
      </c>
      <c r="I3" s="35">
        <v>1.1000000000000001</v>
      </c>
      <c r="J3" s="35" t="b">
        <v>1</v>
      </c>
      <c r="K3" s="35"/>
      <c r="L3" s="37"/>
      <c r="M3" s="35" t="s">
        <v>210</v>
      </c>
      <c r="N3" s="35" t="s">
        <v>213</v>
      </c>
      <c r="O3" s="35"/>
      <c r="P3" s="35"/>
    </row>
    <row r="4" spans="1:16" x14ac:dyDescent="0.2">
      <c r="A4" s="35">
        <v>3</v>
      </c>
      <c r="B4" s="35" t="s">
        <v>193</v>
      </c>
      <c r="C4" s="35" t="s">
        <v>97</v>
      </c>
      <c r="D4" s="35" t="b">
        <v>0</v>
      </c>
      <c r="E4" s="35"/>
      <c r="F4" s="35"/>
      <c r="G4" s="35" t="b">
        <v>1</v>
      </c>
      <c r="H4" s="35">
        <v>1.1000000000000001</v>
      </c>
      <c r="I4" s="35">
        <v>1.1000000000000001</v>
      </c>
      <c r="J4" s="35" t="b">
        <v>1</v>
      </c>
      <c r="K4" s="35"/>
      <c r="L4" s="37"/>
      <c r="M4" s="35" t="s">
        <v>210</v>
      </c>
      <c r="N4" s="35" t="s">
        <v>213</v>
      </c>
      <c r="O4" s="35"/>
      <c r="P4" s="35"/>
    </row>
    <row r="5" spans="1:16" x14ac:dyDescent="0.2">
      <c r="A5" s="35">
        <v>4</v>
      </c>
      <c r="B5" s="35" t="s">
        <v>194</v>
      </c>
      <c r="C5" s="35" t="s">
        <v>191</v>
      </c>
      <c r="D5" s="35" t="b">
        <v>0</v>
      </c>
      <c r="E5" s="35"/>
      <c r="F5" s="35"/>
      <c r="G5" s="35" t="b">
        <v>1</v>
      </c>
      <c r="H5" s="35">
        <v>1.1000000000000001</v>
      </c>
      <c r="I5" s="35">
        <v>1.1000000000000001</v>
      </c>
      <c r="J5" s="35" t="b">
        <v>1</v>
      </c>
      <c r="K5" s="35"/>
      <c r="L5" s="37"/>
      <c r="M5" s="35" t="s">
        <v>210</v>
      </c>
      <c r="N5" s="35" t="s">
        <v>213</v>
      </c>
      <c r="O5" s="35"/>
      <c r="P5" s="35"/>
    </row>
    <row r="6" spans="1:16" x14ac:dyDescent="0.2">
      <c r="A6" s="35">
        <v>5</v>
      </c>
      <c r="B6" s="35">
        <v>1.2</v>
      </c>
      <c r="C6" s="35" t="s">
        <v>6</v>
      </c>
      <c r="D6" s="35" t="b">
        <v>1</v>
      </c>
      <c r="E6" s="35"/>
      <c r="F6" s="35" t="s">
        <v>253</v>
      </c>
      <c r="G6" s="35" t="b">
        <v>1</v>
      </c>
      <c r="H6" s="35"/>
      <c r="I6" s="35"/>
      <c r="J6" s="35"/>
      <c r="K6" s="35">
        <v>400</v>
      </c>
      <c r="L6" s="35" t="b">
        <v>1</v>
      </c>
      <c r="M6" s="35"/>
      <c r="N6" s="35" t="s">
        <v>213</v>
      </c>
      <c r="O6" s="35" t="s">
        <v>166</v>
      </c>
      <c r="P6" s="35" t="s">
        <v>316</v>
      </c>
    </row>
    <row r="7" spans="1:16" x14ac:dyDescent="0.2">
      <c r="A7" s="35">
        <v>6</v>
      </c>
      <c r="B7" s="35" t="s">
        <v>196</v>
      </c>
      <c r="C7" s="35" t="s">
        <v>190</v>
      </c>
      <c r="D7" s="35" t="b">
        <v>0</v>
      </c>
      <c r="E7" s="35"/>
      <c r="F7" s="35"/>
      <c r="G7" s="35" t="b">
        <v>1</v>
      </c>
      <c r="H7" s="35">
        <v>1.2</v>
      </c>
      <c r="I7" s="35">
        <v>1.2</v>
      </c>
      <c r="J7" s="35" t="b">
        <v>1</v>
      </c>
      <c r="K7" s="35"/>
      <c r="L7" s="37"/>
      <c r="M7" s="35" t="s">
        <v>210</v>
      </c>
      <c r="N7" s="35" t="s">
        <v>213</v>
      </c>
      <c r="O7" s="35"/>
      <c r="P7" s="35"/>
    </row>
    <row r="8" spans="1:16" x14ac:dyDescent="0.2">
      <c r="A8" s="35">
        <v>7</v>
      </c>
      <c r="B8" s="35" t="s">
        <v>197</v>
      </c>
      <c r="C8" s="35" t="s">
        <v>97</v>
      </c>
      <c r="D8" s="35" t="b">
        <v>0</v>
      </c>
      <c r="E8" s="35"/>
      <c r="F8" s="35"/>
      <c r="G8" s="35" t="b">
        <v>1</v>
      </c>
      <c r="H8" s="35">
        <v>1.2</v>
      </c>
      <c r="I8" s="35">
        <v>1.2</v>
      </c>
      <c r="J8" s="35" t="b">
        <v>1</v>
      </c>
      <c r="K8" s="35"/>
      <c r="L8" s="37"/>
      <c r="M8" s="35" t="s">
        <v>210</v>
      </c>
      <c r="N8" s="35" t="s">
        <v>213</v>
      </c>
      <c r="O8" s="35"/>
      <c r="P8" s="35"/>
    </row>
    <row r="9" spans="1:16" x14ac:dyDescent="0.2">
      <c r="A9" s="35">
        <v>8</v>
      </c>
      <c r="B9" s="35" t="s">
        <v>198</v>
      </c>
      <c r="C9" s="35" t="s">
        <v>191</v>
      </c>
      <c r="D9" s="35" t="b">
        <v>0</v>
      </c>
      <c r="E9" s="35"/>
      <c r="F9" s="35"/>
      <c r="G9" s="35" t="b">
        <v>1</v>
      </c>
      <c r="H9" s="35">
        <v>1.2</v>
      </c>
      <c r="I9" s="35">
        <v>1.2</v>
      </c>
      <c r="J9" s="35" t="b">
        <v>1</v>
      </c>
      <c r="K9" s="35"/>
      <c r="L9" s="37"/>
      <c r="M9" s="35" t="s">
        <v>210</v>
      </c>
      <c r="N9" s="35" t="s">
        <v>213</v>
      </c>
      <c r="O9" s="35"/>
      <c r="P9" s="35"/>
    </row>
    <row r="10" spans="1:16" x14ac:dyDescent="0.2">
      <c r="A10" s="35">
        <v>9</v>
      </c>
      <c r="B10" s="35">
        <v>1.3</v>
      </c>
      <c r="C10" s="35" t="s">
        <v>43</v>
      </c>
      <c r="D10" s="35" t="b">
        <v>1</v>
      </c>
      <c r="E10" s="35"/>
      <c r="F10" s="35"/>
      <c r="G10" s="35" t="b">
        <v>1</v>
      </c>
      <c r="H10" s="35"/>
      <c r="I10" s="35"/>
      <c r="J10" s="35"/>
      <c r="K10" s="37"/>
      <c r="L10" s="35" t="b">
        <v>1</v>
      </c>
      <c r="M10" s="35"/>
      <c r="N10" s="35" t="s">
        <v>214</v>
      </c>
      <c r="O10" s="35"/>
      <c r="P10" s="35"/>
    </row>
    <row r="11" spans="1:16" x14ac:dyDescent="0.2">
      <c r="A11" s="35">
        <v>10</v>
      </c>
      <c r="B11" s="35" t="s">
        <v>364</v>
      </c>
      <c r="C11" s="35" t="s">
        <v>43</v>
      </c>
      <c r="D11" s="35" t="b">
        <v>0</v>
      </c>
      <c r="E11" s="35"/>
      <c r="F11" s="35" t="s">
        <v>37</v>
      </c>
      <c r="G11" s="35" t="b">
        <v>1</v>
      </c>
      <c r="H11" s="35">
        <v>1.3</v>
      </c>
      <c r="I11" s="35"/>
      <c r="J11" s="35" t="b">
        <v>1</v>
      </c>
      <c r="K11" s="35">
        <v>35</v>
      </c>
      <c r="L11" s="37"/>
      <c r="M11" s="35" t="s">
        <v>210</v>
      </c>
      <c r="N11" s="35" t="s">
        <v>214</v>
      </c>
      <c r="O11" s="35" t="s">
        <v>166</v>
      </c>
      <c r="P11" s="35" t="s">
        <v>317</v>
      </c>
    </row>
    <row r="12" spans="1:16" x14ac:dyDescent="0.2">
      <c r="A12" s="35">
        <v>11</v>
      </c>
      <c r="B12" s="35">
        <v>1.4</v>
      </c>
      <c r="C12" s="35" t="s">
        <v>44</v>
      </c>
      <c r="D12" s="35" t="b">
        <v>1</v>
      </c>
      <c r="E12" s="35"/>
      <c r="F12" s="35"/>
      <c r="G12" s="35" t="b">
        <v>1</v>
      </c>
      <c r="H12" s="35"/>
      <c r="I12" s="35"/>
      <c r="J12" s="35"/>
      <c r="K12" s="35"/>
      <c r="L12" s="35" t="b">
        <v>1</v>
      </c>
      <c r="M12" s="35"/>
      <c r="N12" s="35" t="s">
        <v>2</v>
      </c>
      <c r="O12" s="35"/>
      <c r="P12" s="35" t="s">
        <v>348</v>
      </c>
    </row>
    <row r="13" spans="1:16" x14ac:dyDescent="0.2">
      <c r="A13" s="35">
        <v>12</v>
      </c>
      <c r="B13" s="35" t="s">
        <v>45</v>
      </c>
      <c r="C13" s="35" t="s">
        <v>9</v>
      </c>
      <c r="D13" s="35" t="b">
        <v>0</v>
      </c>
      <c r="E13" s="35"/>
      <c r="F13" s="35" t="s">
        <v>417</v>
      </c>
      <c r="G13" s="35" t="b">
        <v>1</v>
      </c>
      <c r="H13" s="35">
        <v>1.4</v>
      </c>
      <c r="I13" s="35"/>
      <c r="J13" s="35" t="b">
        <v>1</v>
      </c>
      <c r="K13" s="35">
        <v>600</v>
      </c>
      <c r="L13" s="37"/>
      <c r="M13" s="35" t="s">
        <v>211</v>
      </c>
      <c r="N13" s="35" t="s">
        <v>2</v>
      </c>
      <c r="O13" s="35" t="s">
        <v>166</v>
      </c>
      <c r="P13" s="35" t="s">
        <v>312</v>
      </c>
    </row>
    <row r="14" spans="1:16" x14ac:dyDescent="0.2">
      <c r="A14" s="35">
        <v>13</v>
      </c>
      <c r="B14" s="35" t="s">
        <v>46</v>
      </c>
      <c r="C14" s="35" t="s">
        <v>10</v>
      </c>
      <c r="D14" s="35" t="b">
        <v>0</v>
      </c>
      <c r="E14" s="35"/>
      <c r="F14" s="35" t="s">
        <v>7</v>
      </c>
      <c r="G14" s="35" t="b">
        <v>1</v>
      </c>
      <c r="H14" s="35">
        <v>1.4</v>
      </c>
      <c r="I14" s="35"/>
      <c r="J14" s="35" t="b">
        <v>1</v>
      </c>
      <c r="K14" s="35">
        <v>1200</v>
      </c>
      <c r="L14" s="37"/>
      <c r="M14" s="35" t="s">
        <v>211</v>
      </c>
      <c r="N14" s="35" t="s">
        <v>2</v>
      </c>
      <c r="O14" s="35" t="s">
        <v>166</v>
      </c>
      <c r="P14" s="35" t="s">
        <v>313</v>
      </c>
    </row>
    <row r="15" spans="1:16" x14ac:dyDescent="0.2">
      <c r="A15" s="35">
        <v>14</v>
      </c>
      <c r="B15" s="35">
        <v>1.5</v>
      </c>
      <c r="C15" s="35" t="s">
        <v>50</v>
      </c>
      <c r="D15" s="35" t="b">
        <v>0</v>
      </c>
      <c r="E15" s="35" t="b">
        <v>1</v>
      </c>
      <c r="F15" s="35"/>
      <c r="G15" s="35" t="b">
        <v>1</v>
      </c>
      <c r="H15" s="35"/>
      <c r="I15" s="35"/>
      <c r="J15" s="35" t="b">
        <v>1</v>
      </c>
      <c r="K15" s="35">
        <v>300</v>
      </c>
      <c r="L15" s="37"/>
      <c r="M15" s="35" t="s">
        <v>375</v>
      </c>
      <c r="N15" s="35" t="s">
        <v>216</v>
      </c>
      <c r="O15" s="35" t="s">
        <v>167</v>
      </c>
      <c r="P15" s="35" t="s">
        <v>318</v>
      </c>
    </row>
    <row r="16" spans="1:16" x14ac:dyDescent="0.2">
      <c r="A16" s="35">
        <v>15</v>
      </c>
      <c r="B16" s="35">
        <v>1.6</v>
      </c>
      <c r="C16" s="35" t="s">
        <v>51</v>
      </c>
      <c r="D16" s="35" t="b">
        <v>0</v>
      </c>
      <c r="E16" s="35" t="b">
        <v>1</v>
      </c>
      <c r="F16" s="35"/>
      <c r="G16" s="35" t="b">
        <v>1</v>
      </c>
      <c r="H16" s="35"/>
      <c r="I16" s="35"/>
      <c r="J16" s="35" t="b">
        <v>1</v>
      </c>
      <c r="K16" s="35">
        <v>1500</v>
      </c>
      <c r="L16" s="37"/>
      <c r="M16" s="35" t="s">
        <v>224</v>
      </c>
      <c r="N16" s="35" t="s">
        <v>217</v>
      </c>
      <c r="O16" s="35" t="s">
        <v>167</v>
      </c>
      <c r="P16" s="35" t="s">
        <v>347</v>
      </c>
    </row>
    <row r="17" spans="1:16" x14ac:dyDescent="0.2">
      <c r="A17" s="35">
        <v>16</v>
      </c>
      <c r="B17" s="35">
        <v>1.7</v>
      </c>
      <c r="C17" s="35" t="s">
        <v>200</v>
      </c>
      <c r="D17" s="35" t="b">
        <v>0</v>
      </c>
      <c r="E17" s="35" t="b">
        <v>1</v>
      </c>
      <c r="F17" s="35"/>
      <c r="G17" s="35" t="b">
        <v>1</v>
      </c>
      <c r="H17" s="35"/>
      <c r="I17" s="35"/>
      <c r="J17" s="35" t="b">
        <v>1</v>
      </c>
      <c r="K17" s="35"/>
      <c r="L17" s="37"/>
      <c r="M17" s="35" t="s">
        <v>5</v>
      </c>
      <c r="N17" s="35" t="s">
        <v>218</v>
      </c>
      <c r="O17" s="35"/>
      <c r="P17" s="35" t="s">
        <v>208</v>
      </c>
    </row>
    <row r="18" spans="1:16" x14ac:dyDescent="0.2">
      <c r="A18" s="35">
        <v>17</v>
      </c>
      <c r="B18" s="35">
        <v>1.8</v>
      </c>
      <c r="C18" s="35" t="s">
        <v>201</v>
      </c>
      <c r="D18" s="35" t="b">
        <v>0</v>
      </c>
      <c r="E18" s="35" t="b">
        <v>1</v>
      </c>
      <c r="F18" s="35"/>
      <c r="G18" s="35" t="b">
        <v>1</v>
      </c>
      <c r="H18" s="35"/>
      <c r="I18" s="35"/>
      <c r="J18" s="35" t="b">
        <v>1</v>
      </c>
      <c r="K18" s="35"/>
      <c r="L18" s="37"/>
      <c r="M18" t="s">
        <v>373</v>
      </c>
      <c r="N18" s="35" t="s">
        <v>219</v>
      </c>
      <c r="O18" s="35"/>
      <c r="P18" s="35" t="s">
        <v>208</v>
      </c>
    </row>
    <row r="19" spans="1:16" x14ac:dyDescent="0.2">
      <c r="A19" s="35">
        <v>18</v>
      </c>
      <c r="B19" s="35">
        <v>1.9</v>
      </c>
      <c r="C19" s="35" t="s">
        <v>202</v>
      </c>
      <c r="D19" s="35" t="b">
        <v>0</v>
      </c>
      <c r="E19" s="35" t="b">
        <v>1</v>
      </c>
      <c r="F19" s="35"/>
      <c r="G19" s="35" t="b">
        <v>1</v>
      </c>
      <c r="H19" s="35"/>
      <c r="I19" s="35"/>
      <c r="J19" s="35" t="b">
        <v>1</v>
      </c>
      <c r="K19" s="35"/>
      <c r="L19" s="37"/>
      <c r="M19" t="s">
        <v>373</v>
      </c>
      <c r="N19" s="35" t="s">
        <v>220</v>
      </c>
      <c r="O19" s="35"/>
      <c r="P19" s="35" t="s">
        <v>208</v>
      </c>
    </row>
    <row r="20" spans="1:16" x14ac:dyDescent="0.2">
      <c r="A20" s="35">
        <v>19</v>
      </c>
      <c r="B20" s="35">
        <v>1.1100000000000001</v>
      </c>
      <c r="C20" s="35" t="s">
        <v>203</v>
      </c>
      <c r="D20" s="35" t="b">
        <v>0</v>
      </c>
      <c r="E20" s="35" t="b">
        <v>1</v>
      </c>
      <c r="F20" s="35"/>
      <c r="G20" s="35" t="b">
        <v>1</v>
      </c>
      <c r="H20" s="35"/>
      <c r="I20" s="35"/>
      <c r="J20" s="35" t="b">
        <v>1</v>
      </c>
      <c r="K20" s="35"/>
      <c r="L20" s="37"/>
      <c r="M20" t="s">
        <v>373</v>
      </c>
      <c r="N20" s="35" t="s">
        <v>221</v>
      </c>
      <c r="O20" s="35"/>
      <c r="P20" s="35" t="s">
        <v>208</v>
      </c>
    </row>
    <row r="21" spans="1:16" x14ac:dyDescent="0.2">
      <c r="A21" s="35">
        <v>20</v>
      </c>
      <c r="B21" s="35">
        <v>1.1200000000000001</v>
      </c>
      <c r="C21" s="35" t="s">
        <v>204</v>
      </c>
      <c r="D21" s="35" t="b">
        <v>0</v>
      </c>
      <c r="E21" s="35" t="b">
        <v>1</v>
      </c>
      <c r="F21" s="35"/>
      <c r="G21" s="35" t="b">
        <v>1</v>
      </c>
      <c r="H21" s="35"/>
      <c r="I21" s="35"/>
      <c r="J21" s="35" t="b">
        <v>1</v>
      </c>
      <c r="K21" s="35"/>
      <c r="L21" s="37"/>
      <c r="M21" t="s">
        <v>373</v>
      </c>
      <c r="N21" s="35" t="s">
        <v>221</v>
      </c>
      <c r="O21" s="35"/>
      <c r="P21" s="35" t="s">
        <v>208</v>
      </c>
    </row>
    <row r="22" spans="1:16" x14ac:dyDescent="0.2">
      <c r="A22" s="35">
        <v>21</v>
      </c>
      <c r="B22" s="35">
        <v>1.1299999999999999</v>
      </c>
      <c r="C22" s="35" t="s">
        <v>205</v>
      </c>
      <c r="D22" s="35" t="b">
        <v>0</v>
      </c>
      <c r="E22" s="35" t="b">
        <v>1</v>
      </c>
      <c r="F22" s="35"/>
      <c r="G22" s="35" t="b">
        <v>1</v>
      </c>
      <c r="H22" s="35"/>
      <c r="I22" s="35"/>
      <c r="J22" s="35" t="b">
        <v>1</v>
      </c>
      <c r="K22" s="35"/>
      <c r="L22" s="37"/>
      <c r="M22" s="35" t="s">
        <v>376</v>
      </c>
      <c r="N22" s="35" t="s">
        <v>222</v>
      </c>
      <c r="O22" s="35"/>
      <c r="P22" s="35" t="s">
        <v>208</v>
      </c>
    </row>
    <row r="23" spans="1:16" x14ac:dyDescent="0.2">
      <c r="A23" s="35">
        <v>22</v>
      </c>
      <c r="B23" s="35">
        <v>1.1399999999999999</v>
      </c>
      <c r="C23" s="35" t="s">
        <v>206</v>
      </c>
      <c r="D23" s="35" t="b">
        <v>0</v>
      </c>
      <c r="E23" s="35" t="b">
        <v>1</v>
      </c>
      <c r="F23" s="35"/>
      <c r="G23" s="35" t="b">
        <v>1</v>
      </c>
      <c r="H23" s="35"/>
      <c r="I23" s="35"/>
      <c r="J23" s="35" t="b">
        <v>1</v>
      </c>
      <c r="K23" s="35"/>
      <c r="L23" s="37"/>
      <c r="M23" t="s">
        <v>373</v>
      </c>
      <c r="N23" s="35" t="s">
        <v>223</v>
      </c>
      <c r="O23" s="35"/>
      <c r="P23" s="35" t="s">
        <v>208</v>
      </c>
    </row>
    <row r="24" spans="1:16" x14ac:dyDescent="0.2">
      <c r="A24" s="35">
        <v>23</v>
      </c>
      <c r="B24" s="35">
        <v>1.1499999999999999</v>
      </c>
      <c r="C24" s="35" t="s">
        <v>207</v>
      </c>
      <c r="D24" s="35" t="b">
        <v>0</v>
      </c>
      <c r="E24" s="35" t="b">
        <v>1</v>
      </c>
      <c r="F24" s="35"/>
      <c r="G24" s="35" t="b">
        <v>1</v>
      </c>
      <c r="H24" s="35"/>
      <c r="I24" s="35"/>
      <c r="J24" s="35" t="b">
        <v>1</v>
      </c>
      <c r="K24" s="35"/>
      <c r="L24" s="37"/>
      <c r="M24" s="35" t="s">
        <v>5</v>
      </c>
      <c r="N24" s="35" t="s">
        <v>219</v>
      </c>
      <c r="O24" s="35"/>
      <c r="P24" s="35" t="s">
        <v>208</v>
      </c>
    </row>
    <row r="25" spans="1:16" x14ac:dyDescent="0.2">
      <c r="A25" s="35">
        <v>24</v>
      </c>
      <c r="B25" s="35">
        <v>1.1599999999999999</v>
      </c>
      <c r="C25" t="s">
        <v>263</v>
      </c>
      <c r="D25" s="35" t="b">
        <v>0</v>
      </c>
      <c r="E25" s="35" t="b">
        <v>1</v>
      </c>
      <c r="F25" s="35"/>
      <c r="G25" s="35" t="b">
        <v>1</v>
      </c>
      <c r="H25" s="35"/>
      <c r="J25" s="35" t="b">
        <v>1</v>
      </c>
      <c r="K25" s="35"/>
      <c r="L25" s="35"/>
      <c r="M25" t="s">
        <v>373</v>
      </c>
      <c r="N25" s="35" t="s">
        <v>356</v>
      </c>
      <c r="P25" s="35" t="s">
        <v>232</v>
      </c>
    </row>
    <row r="26" spans="1:16" x14ac:dyDescent="0.2">
      <c r="A26" s="35">
        <v>25</v>
      </c>
      <c r="B26" s="35">
        <v>1.17</v>
      </c>
      <c r="C26" t="s">
        <v>215</v>
      </c>
      <c r="D26" s="35" t="b">
        <v>1</v>
      </c>
      <c r="E26" s="35"/>
      <c r="F26" s="35"/>
      <c r="G26" s="35" t="b">
        <v>1</v>
      </c>
      <c r="K26" s="35"/>
      <c r="L26" s="35" t="b">
        <v>1</v>
      </c>
      <c r="N26" s="35" t="s">
        <v>351</v>
      </c>
    </row>
    <row r="27" spans="1:16" x14ac:dyDescent="0.2">
      <c r="A27" s="35">
        <v>26</v>
      </c>
      <c r="B27" s="35" t="s">
        <v>280</v>
      </c>
      <c r="C27" s="35" t="s">
        <v>234</v>
      </c>
      <c r="D27" s="35" t="b">
        <v>0</v>
      </c>
      <c r="E27" s="35"/>
      <c r="F27" s="35" t="s">
        <v>418</v>
      </c>
      <c r="G27" s="35" t="b">
        <v>1</v>
      </c>
      <c r="H27" s="35">
        <v>1.17</v>
      </c>
      <c r="J27" s="35" t="b">
        <v>1</v>
      </c>
      <c r="K27" s="35">
        <v>1450</v>
      </c>
      <c r="L27" s="37"/>
      <c r="M27" t="s">
        <v>416</v>
      </c>
      <c r="N27" s="35" t="s">
        <v>351</v>
      </c>
      <c r="P27" s="35" t="s">
        <v>346</v>
      </c>
    </row>
    <row r="28" spans="1:16" x14ac:dyDescent="0.2">
      <c r="A28" s="35">
        <v>27</v>
      </c>
      <c r="B28" s="35" t="s">
        <v>281</v>
      </c>
      <c r="C28" s="35" t="s">
        <v>279</v>
      </c>
      <c r="D28" s="35" t="b">
        <v>0</v>
      </c>
      <c r="E28" s="35"/>
      <c r="F28" s="35" t="s">
        <v>419</v>
      </c>
      <c r="G28" s="35" t="b">
        <v>1</v>
      </c>
      <c r="H28" s="35">
        <v>1.17</v>
      </c>
      <c r="J28" s="35" t="b">
        <v>1</v>
      </c>
      <c r="K28" s="35">
        <v>900</v>
      </c>
      <c r="L28" s="37"/>
      <c r="M28" t="s">
        <v>416</v>
      </c>
      <c r="N28" s="35" t="s">
        <v>351</v>
      </c>
      <c r="P28" s="35" t="s">
        <v>319</v>
      </c>
    </row>
    <row r="29" spans="1:16" x14ac:dyDescent="0.2">
      <c r="A29" s="35">
        <v>28</v>
      </c>
      <c r="B29" s="35">
        <v>1.18</v>
      </c>
      <c r="C29" s="35" t="s">
        <v>372</v>
      </c>
      <c r="D29" s="35" t="b">
        <v>1</v>
      </c>
      <c r="E29" s="35"/>
      <c r="F29" s="35"/>
      <c r="G29" s="35"/>
      <c r="H29" s="35"/>
      <c r="J29" s="35"/>
      <c r="K29" s="35"/>
      <c r="L29" s="35"/>
      <c r="N29" s="35" t="s">
        <v>218</v>
      </c>
      <c r="P29" s="35"/>
    </row>
    <row r="30" spans="1:16" x14ac:dyDescent="0.2">
      <c r="A30" s="35">
        <v>29</v>
      </c>
      <c r="B30" s="35" t="s">
        <v>365</v>
      </c>
      <c r="C30" t="s">
        <v>264</v>
      </c>
      <c r="D30" s="35" t="b">
        <v>0</v>
      </c>
      <c r="E30" s="35" t="b">
        <v>1</v>
      </c>
      <c r="F30" s="35"/>
      <c r="G30" s="35" t="b">
        <v>1</v>
      </c>
      <c r="H30" s="35">
        <v>1.18</v>
      </c>
      <c r="J30" s="35" t="b">
        <v>1</v>
      </c>
      <c r="K30" s="35"/>
      <c r="L30" s="35"/>
      <c r="M30" t="s">
        <v>373</v>
      </c>
      <c r="N30" s="35" t="s">
        <v>357</v>
      </c>
      <c r="P30" s="35" t="s">
        <v>233</v>
      </c>
    </row>
    <row r="31" spans="1:16" x14ac:dyDescent="0.2">
      <c r="A31" s="35">
        <v>30</v>
      </c>
      <c r="B31" s="35" t="s">
        <v>366</v>
      </c>
      <c r="C31" t="s">
        <v>265</v>
      </c>
      <c r="D31" s="35" t="b">
        <v>0</v>
      </c>
      <c r="E31" s="35" t="b">
        <v>1</v>
      </c>
      <c r="F31" s="35"/>
      <c r="G31" s="35" t="b">
        <v>1</v>
      </c>
      <c r="H31" s="35">
        <v>1.18</v>
      </c>
      <c r="J31" s="35" t="b">
        <v>1</v>
      </c>
      <c r="K31" s="35"/>
      <c r="L31" s="35"/>
      <c r="M31" t="s">
        <v>373</v>
      </c>
      <c r="N31" s="35" t="s">
        <v>358</v>
      </c>
      <c r="P31" s="35" t="s">
        <v>233</v>
      </c>
    </row>
    <row r="32" spans="1:16" x14ac:dyDescent="0.2">
      <c r="A32" s="35">
        <v>31</v>
      </c>
      <c r="B32" s="35">
        <v>9.1999999999999993</v>
      </c>
      <c r="C32" s="35" t="s">
        <v>94</v>
      </c>
      <c r="D32" s="35" t="b">
        <v>1</v>
      </c>
      <c r="E32" s="35"/>
      <c r="F32" s="35"/>
      <c r="G32" s="35" t="b">
        <v>1</v>
      </c>
      <c r="K32" s="35"/>
      <c r="L32" s="35" t="b">
        <v>1</v>
      </c>
      <c r="N32" s="35" t="s">
        <v>353</v>
      </c>
    </row>
    <row r="33" spans="1:16" x14ac:dyDescent="0.2">
      <c r="A33" s="35">
        <v>32</v>
      </c>
      <c r="B33" s="35" t="s">
        <v>402</v>
      </c>
      <c r="C33" s="35" t="s">
        <v>276</v>
      </c>
      <c r="D33" s="35" t="b">
        <v>0</v>
      </c>
      <c r="E33" s="35"/>
      <c r="F33" s="35"/>
      <c r="G33" s="35" t="b">
        <v>1</v>
      </c>
      <c r="H33" s="35">
        <v>9.1999999999999993</v>
      </c>
      <c r="J33" s="35" t="b">
        <v>1</v>
      </c>
      <c r="K33" s="37"/>
      <c r="L33" s="37"/>
      <c r="M33" t="s">
        <v>2</v>
      </c>
      <c r="N33" t="s">
        <v>352</v>
      </c>
    </row>
    <row r="34" spans="1:16" x14ac:dyDescent="0.2">
      <c r="A34" s="35">
        <v>33</v>
      </c>
      <c r="B34" s="35" t="s">
        <v>403</v>
      </c>
      <c r="C34" s="35" t="s">
        <v>277</v>
      </c>
      <c r="D34" s="35" t="b">
        <v>0</v>
      </c>
      <c r="E34" s="35"/>
      <c r="F34" s="35"/>
      <c r="G34" s="35" t="b">
        <v>1</v>
      </c>
      <c r="H34" s="35">
        <v>9.1999999999999993</v>
      </c>
      <c r="J34" s="35" t="b">
        <v>1</v>
      </c>
      <c r="K34" s="37"/>
      <c r="L34" s="37"/>
      <c r="M34" t="s">
        <v>377</v>
      </c>
      <c r="N34" s="35" t="s">
        <v>355</v>
      </c>
      <c r="P34" t="s">
        <v>374</v>
      </c>
    </row>
    <row r="35" spans="1:16" x14ac:dyDescent="0.2">
      <c r="A35" s="35">
        <v>34</v>
      </c>
      <c r="B35" s="35" t="s">
        <v>404</v>
      </c>
      <c r="C35" s="35" t="s">
        <v>422</v>
      </c>
      <c r="D35" s="35" t="b">
        <v>0</v>
      </c>
      <c r="E35" s="35"/>
      <c r="F35" s="35"/>
      <c r="G35" s="35" t="b">
        <v>1</v>
      </c>
      <c r="H35" s="35">
        <v>9.1999999999999993</v>
      </c>
      <c r="J35" s="35" t="b">
        <v>1</v>
      </c>
      <c r="K35" s="37"/>
      <c r="L35" s="37"/>
      <c r="M35" t="s">
        <v>2</v>
      </c>
      <c r="N35" s="35" t="s">
        <v>353</v>
      </c>
    </row>
    <row r="36" spans="1:16" x14ac:dyDescent="0.2">
      <c r="A36" s="35">
        <v>35</v>
      </c>
      <c r="B36" s="35" t="s">
        <v>405</v>
      </c>
      <c r="C36" s="35" t="s">
        <v>423</v>
      </c>
      <c r="D36" s="35" t="b">
        <v>0</v>
      </c>
      <c r="E36" s="35"/>
      <c r="F36" s="35"/>
      <c r="G36" s="35" t="b">
        <v>1</v>
      </c>
      <c r="H36" s="35">
        <v>9.1999999999999993</v>
      </c>
      <c r="J36" s="35" t="b">
        <v>1</v>
      </c>
      <c r="K36" s="37"/>
      <c r="L36" s="37"/>
      <c r="M36" t="s">
        <v>2</v>
      </c>
      <c r="N36" s="52" t="s">
        <v>354</v>
      </c>
    </row>
    <row r="37" spans="1:16" x14ac:dyDescent="0.2">
      <c r="A37" s="35">
        <v>36</v>
      </c>
      <c r="B37" s="35" t="s">
        <v>406</v>
      </c>
      <c r="C37" s="35" t="s">
        <v>378</v>
      </c>
      <c r="D37" s="35" t="b">
        <v>0</v>
      </c>
      <c r="E37" s="35"/>
      <c r="F37" s="35"/>
      <c r="G37" s="35" t="b">
        <v>1</v>
      </c>
      <c r="H37" s="35">
        <v>9.1999999999999993</v>
      </c>
      <c r="J37" s="35" t="b">
        <v>1</v>
      </c>
      <c r="K37" s="37"/>
      <c r="L37" s="37"/>
      <c r="M37" t="s">
        <v>2</v>
      </c>
      <c r="N37" s="35" t="s">
        <v>380</v>
      </c>
    </row>
    <row r="38" spans="1:16" x14ac:dyDescent="0.2">
      <c r="A38" s="35">
        <v>37</v>
      </c>
      <c r="B38" s="35" t="s">
        <v>407</v>
      </c>
      <c r="C38" s="35" t="s">
        <v>379</v>
      </c>
      <c r="D38" s="35" t="b">
        <v>0</v>
      </c>
      <c r="E38" s="35"/>
      <c r="F38" s="35"/>
      <c r="G38" s="35" t="b">
        <v>1</v>
      </c>
      <c r="H38" s="35">
        <v>9.1999999999999993</v>
      </c>
      <c r="J38" s="35" t="b">
        <v>1</v>
      </c>
      <c r="K38" s="37"/>
      <c r="L38" s="37"/>
      <c r="M38" t="s">
        <v>373</v>
      </c>
      <c r="N38" s="35" t="s">
        <v>355</v>
      </c>
    </row>
    <row r="39" spans="1:16" x14ac:dyDescent="0.2">
      <c r="A39" s="35">
        <v>38</v>
      </c>
      <c r="B39" s="35" t="s">
        <v>408</v>
      </c>
      <c r="C39" s="35" t="s">
        <v>350</v>
      </c>
      <c r="D39" s="35" t="b">
        <v>0</v>
      </c>
      <c r="E39" s="35"/>
      <c r="F39" s="35" t="s">
        <v>412</v>
      </c>
      <c r="G39" s="35" t="b">
        <v>1</v>
      </c>
      <c r="H39" s="35">
        <v>9.1999999999999993</v>
      </c>
      <c r="J39" s="35" t="b">
        <v>1</v>
      </c>
      <c r="K39" s="37"/>
      <c r="L39" s="37"/>
      <c r="M39" t="s">
        <v>373</v>
      </c>
      <c r="N39" s="52" t="s">
        <v>354</v>
      </c>
      <c r="O39" t="s">
        <v>309</v>
      </c>
    </row>
    <row r="40" spans="1:16" x14ac:dyDescent="0.2">
      <c r="A40" s="35">
        <v>39</v>
      </c>
      <c r="B40" s="35">
        <v>9.3000000000000007</v>
      </c>
      <c r="C40" t="s">
        <v>235</v>
      </c>
      <c r="D40" s="54" t="b">
        <v>1</v>
      </c>
      <c r="E40" s="35"/>
      <c r="F40" s="35"/>
      <c r="L40" s="35"/>
      <c r="N40" s="35" t="s">
        <v>219</v>
      </c>
    </row>
    <row r="41" spans="1:16" x14ac:dyDescent="0.2">
      <c r="A41" s="35">
        <v>40</v>
      </c>
      <c r="B41" s="35" t="s">
        <v>411</v>
      </c>
      <c r="C41" t="s">
        <v>236</v>
      </c>
      <c r="D41" s="54" t="b">
        <v>0</v>
      </c>
      <c r="E41" s="35" t="b">
        <v>1</v>
      </c>
      <c r="F41" t="s">
        <v>413</v>
      </c>
      <c r="G41" t="b">
        <v>1</v>
      </c>
      <c r="H41" s="35">
        <v>9.3000000000000007</v>
      </c>
      <c r="J41" t="b">
        <v>1</v>
      </c>
      <c r="M41" t="s">
        <v>373</v>
      </c>
      <c r="O41" t="s">
        <v>309</v>
      </c>
    </row>
    <row r="42" spans="1:16" x14ac:dyDescent="0.2">
      <c r="K42" s="35"/>
    </row>
  </sheetData>
  <phoneticPr fontId="5" type="noConversion"/>
  <conditionalFormatting sqref="D2:D9 F26 D11:D32 F32 F25:G25 F29:G31">
    <cfRule type="cellIs" dxfId="154" priority="73" operator="equal">
      <formula>TRUE</formula>
    </cfRule>
  </conditionalFormatting>
  <conditionalFormatting sqref="D10">
    <cfRule type="cellIs" dxfId="153" priority="72" operator="equal">
      <formula>TRUE</formula>
    </cfRule>
  </conditionalFormatting>
  <conditionalFormatting sqref="F42:F1048576 F1 F15:F25">
    <cfRule type="cellIs" dxfId="152" priority="62" operator="equal">
      <formula>TRUE</formula>
    </cfRule>
  </conditionalFormatting>
  <conditionalFormatting sqref="F10">
    <cfRule type="cellIs" dxfId="151" priority="60" operator="equal">
      <formula>TRUE</formula>
    </cfRule>
  </conditionalFormatting>
  <conditionalFormatting sqref="G42:G1048576 G1">
    <cfRule type="cellIs" dxfId="150" priority="47" operator="equal">
      <formula>TRUE</formula>
    </cfRule>
  </conditionalFormatting>
  <conditionalFormatting sqref="G25">
    <cfRule type="cellIs" dxfId="149" priority="45" operator="equal">
      <formula>TRUE</formula>
    </cfRule>
  </conditionalFormatting>
  <conditionalFormatting sqref="G30">
    <cfRule type="cellIs" dxfId="148" priority="44" operator="equal">
      <formula>TRUE</formula>
    </cfRule>
  </conditionalFormatting>
  <conditionalFormatting sqref="G15:G25">
    <cfRule type="cellIs" dxfId="147" priority="42" operator="equal">
      <formula>TRUE</formula>
    </cfRule>
  </conditionalFormatting>
  <conditionalFormatting sqref="G26:G28">
    <cfRule type="cellIs" dxfId="146" priority="40" operator="equal">
      <formula>TRUE</formula>
    </cfRule>
  </conditionalFormatting>
  <conditionalFormatting sqref="D33:D39 F33:F38">
    <cfRule type="cellIs" dxfId="145" priority="35" operator="equal">
      <formula>TRUE</formula>
    </cfRule>
  </conditionalFormatting>
  <conditionalFormatting sqref="G33">
    <cfRule type="cellIs" dxfId="144" priority="34" operator="equal">
      <formula>TRUE</formula>
    </cfRule>
  </conditionalFormatting>
  <conditionalFormatting sqref="G34:G38">
    <cfRule type="cellIs" dxfId="143" priority="33" operator="equal">
      <formula>TRUE</formula>
    </cfRule>
  </conditionalFormatting>
  <conditionalFormatting sqref="G39">
    <cfRule type="cellIs" dxfId="142" priority="32" operator="equal">
      <formula>TRUE</formula>
    </cfRule>
  </conditionalFormatting>
  <conditionalFormatting sqref="G3:G5 G7:G9">
    <cfRule type="cellIs" dxfId="141" priority="27" operator="equal">
      <formula>TRUE</formula>
    </cfRule>
  </conditionalFormatting>
  <conditionalFormatting sqref="D40:D41 G40:G41">
    <cfRule type="cellIs" dxfId="140" priority="29" operator="equal">
      <formula>TRUE</formula>
    </cfRule>
  </conditionalFormatting>
  <conditionalFormatting sqref="G6">
    <cfRule type="cellIs" dxfId="139" priority="25" operator="equal">
      <formula>TRUE</formula>
    </cfRule>
  </conditionalFormatting>
  <conditionalFormatting sqref="G2">
    <cfRule type="cellIs" dxfId="138" priority="26" operator="equal">
      <formula>TRUE</formula>
    </cfRule>
  </conditionalFormatting>
  <conditionalFormatting sqref="L6">
    <cfRule type="cellIs" dxfId="137" priority="23" operator="equal">
      <formula>TRUE</formula>
    </cfRule>
  </conditionalFormatting>
  <conditionalFormatting sqref="L2">
    <cfRule type="cellIs" dxfId="136" priority="24" operator="equal">
      <formula>TRUE</formula>
    </cfRule>
  </conditionalFormatting>
  <conditionalFormatting sqref="G32">
    <cfRule type="cellIs" dxfId="135" priority="22" operator="equal">
      <formula>TRUE</formula>
    </cfRule>
  </conditionalFormatting>
  <conditionalFormatting sqref="L32">
    <cfRule type="cellIs" dxfId="134" priority="21" operator="equal">
      <formula>TRUE</formula>
    </cfRule>
  </conditionalFormatting>
  <conditionalFormatting sqref="L26">
    <cfRule type="cellIs" dxfId="133" priority="20" operator="equal">
      <formula>TRUE</formula>
    </cfRule>
  </conditionalFormatting>
  <conditionalFormatting sqref="F41">
    <cfRule type="cellIs" dxfId="132" priority="17" operator="equal">
      <formula>TRUE</formula>
    </cfRule>
  </conditionalFormatting>
  <conditionalFormatting sqref="F40">
    <cfRule type="cellIs" dxfId="131" priority="16" operator="equal">
      <formula>TRUE</formula>
    </cfRule>
  </conditionalFormatting>
  <conditionalFormatting sqref="F11:G11 F12 G12:G14">
    <cfRule type="cellIs" dxfId="130" priority="15" operator="equal">
      <formula>TRUE</formula>
    </cfRule>
  </conditionalFormatting>
  <conditionalFormatting sqref="G11:G12">
    <cfRule type="cellIs" dxfId="129" priority="14" operator="equal">
      <formula>TRUE</formula>
    </cfRule>
  </conditionalFormatting>
  <conditionalFormatting sqref="L12">
    <cfRule type="cellIs" dxfId="128" priority="13" operator="equal">
      <formula>TRUE</formula>
    </cfRule>
  </conditionalFormatting>
  <conditionalFormatting sqref="L12">
    <cfRule type="cellIs" dxfId="127" priority="12" operator="equal">
      <formula>TRUE</formula>
    </cfRule>
  </conditionalFormatting>
  <conditionalFormatting sqref="F27:F28">
    <cfRule type="cellIs" dxfId="126" priority="11" operator="equal">
      <formula>TRUE</formula>
    </cfRule>
  </conditionalFormatting>
  <conditionalFormatting sqref="E2:E9 E11:E25 E41:E1048576">
    <cfRule type="cellIs" dxfId="125" priority="10" operator="equal">
      <formula>TRUE</formula>
    </cfRule>
  </conditionalFormatting>
  <conditionalFormatting sqref="E26:E28 E32:E39">
    <cfRule type="cellIs" dxfId="124" priority="9" operator="equal">
      <formula>TRUE</formula>
    </cfRule>
  </conditionalFormatting>
  <conditionalFormatting sqref="E10">
    <cfRule type="cellIs" dxfId="123" priority="8" operator="equal">
      <formula>TRUE</formula>
    </cfRule>
  </conditionalFormatting>
  <conditionalFormatting sqref="E40">
    <cfRule type="cellIs" dxfId="122" priority="7" operator="equal">
      <formula>TRUE</formula>
    </cfRule>
  </conditionalFormatting>
  <conditionalFormatting sqref="E29">
    <cfRule type="cellIs" dxfId="121" priority="6" operator="equal">
      <formula>TRUE</formula>
    </cfRule>
  </conditionalFormatting>
  <conditionalFormatting sqref="E1">
    <cfRule type="cellIs" dxfId="120" priority="5" operator="equal">
      <formula>TRUE</formula>
    </cfRule>
  </conditionalFormatting>
  <conditionalFormatting sqref="G10">
    <cfRule type="cellIs" dxfId="119" priority="4" operator="equal">
      <formula>TRUE</formula>
    </cfRule>
  </conditionalFormatting>
  <conditionalFormatting sqref="L10">
    <cfRule type="cellIs" dxfId="118" priority="3" operator="equal">
      <formula>TRUE</formula>
    </cfRule>
  </conditionalFormatting>
  <conditionalFormatting sqref="E30:E31">
    <cfRule type="cellIs" dxfId="117" priority="2" operator="equal">
      <formula>TRUE</formula>
    </cfRule>
  </conditionalFormatting>
  <conditionalFormatting sqref="E30">
    <cfRule type="cellIs" dxfId="116" priority="1" operator="equal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DFF1-2B12-7148-A5FC-7950227C5051}">
  <dimension ref="A1:T3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O30" sqref="O30"/>
    </sheetView>
  </sheetViews>
  <sheetFormatPr baseColWidth="10" defaultRowHeight="16" x14ac:dyDescent="0.2"/>
  <cols>
    <col min="2" max="2" width="10.83203125" style="29"/>
    <col min="3" max="3" width="26.83203125" bestFit="1" customWidth="1"/>
    <col min="4" max="4" width="15.1640625" bestFit="1" customWidth="1"/>
    <col min="5" max="5" width="6.83203125" customWidth="1"/>
    <col min="6" max="6" width="19.1640625" bestFit="1" customWidth="1"/>
    <col min="7" max="8" width="15.1640625" customWidth="1"/>
    <col min="9" max="9" width="11" bestFit="1" customWidth="1"/>
    <col min="10" max="10" width="11.83203125" bestFit="1" customWidth="1"/>
    <col min="11" max="11" width="7.83203125" bestFit="1" customWidth="1"/>
    <col min="12" max="12" width="12.5" bestFit="1" customWidth="1"/>
    <col min="14" max="14" width="13.6640625" bestFit="1" customWidth="1"/>
    <col min="15" max="15" width="11.1640625" bestFit="1" customWidth="1"/>
    <col min="16" max="16" width="9.83203125" bestFit="1" customWidth="1"/>
    <col min="17" max="17" width="7.5" bestFit="1" customWidth="1"/>
    <col min="18" max="18" width="46.83203125" bestFit="1" customWidth="1"/>
  </cols>
  <sheetData>
    <row r="1" spans="1:18" ht="24" x14ac:dyDescent="0.4">
      <c r="A1" s="74" t="s">
        <v>162</v>
      </c>
      <c r="B1" s="75" t="s">
        <v>163</v>
      </c>
      <c r="C1" s="74" t="s">
        <v>0</v>
      </c>
      <c r="D1" s="33" t="s">
        <v>188</v>
      </c>
      <c r="E1" s="33" t="s">
        <v>421</v>
      </c>
      <c r="F1" s="33" t="s">
        <v>367</v>
      </c>
      <c r="G1" s="36" t="s">
        <v>370</v>
      </c>
      <c r="H1" s="33" t="s">
        <v>225</v>
      </c>
      <c r="I1" s="33" t="s">
        <v>242</v>
      </c>
      <c r="J1" s="33" t="s">
        <v>272</v>
      </c>
      <c r="K1" s="33" t="s">
        <v>240</v>
      </c>
      <c r="L1" s="33" t="s">
        <v>189</v>
      </c>
      <c r="M1" s="74" t="s">
        <v>1</v>
      </c>
      <c r="N1" s="67" t="s">
        <v>398</v>
      </c>
      <c r="O1" s="74" t="s">
        <v>209</v>
      </c>
      <c r="P1" s="74" t="s">
        <v>212</v>
      </c>
      <c r="Q1" s="74" t="s">
        <v>165</v>
      </c>
      <c r="R1" s="74" t="s">
        <v>164</v>
      </c>
    </row>
    <row r="2" spans="1:18" ht="21" customHeight="1" x14ac:dyDescent="0.4">
      <c r="A2" s="74">
        <v>1</v>
      </c>
      <c r="B2" s="30">
        <v>3.1</v>
      </c>
      <c r="C2" s="23" t="s">
        <v>174</v>
      </c>
      <c r="D2" s="23" t="b">
        <f>TRUE</f>
        <v>1</v>
      </c>
      <c r="E2" s="23"/>
      <c r="F2" s="23"/>
      <c r="G2" s="8" t="b">
        <v>1</v>
      </c>
      <c r="H2" s="23"/>
      <c r="I2" s="23"/>
      <c r="J2" s="23"/>
      <c r="K2" s="23"/>
      <c r="L2" s="23"/>
      <c r="M2" s="23"/>
      <c r="N2" s="8" t="b">
        <v>1</v>
      </c>
      <c r="O2" s="23"/>
      <c r="P2" s="23" t="s">
        <v>359</v>
      </c>
      <c r="Q2" s="23"/>
      <c r="R2" s="34" t="s">
        <v>349</v>
      </c>
    </row>
    <row r="3" spans="1:18" ht="24" x14ac:dyDescent="0.4">
      <c r="A3" s="74">
        <v>2</v>
      </c>
      <c r="B3" s="27" t="s">
        <v>99</v>
      </c>
      <c r="C3" s="8" t="s">
        <v>237</v>
      </c>
      <c r="D3" s="8" t="b">
        <f>FALSE</f>
        <v>0</v>
      </c>
      <c r="E3" s="8"/>
      <c r="F3" s="8" t="s">
        <v>174</v>
      </c>
      <c r="G3" s="8" t="b">
        <v>1</v>
      </c>
      <c r="H3" s="8">
        <v>3.1</v>
      </c>
      <c r="I3" s="8"/>
      <c r="J3" s="8"/>
      <c r="K3" s="8"/>
      <c r="L3" s="7" t="b">
        <v>1</v>
      </c>
      <c r="M3" s="7">
        <v>270</v>
      </c>
      <c r="N3" s="7"/>
      <c r="O3" s="8" t="s">
        <v>239</v>
      </c>
      <c r="P3" s="8" t="s">
        <v>359</v>
      </c>
      <c r="Q3" s="8"/>
      <c r="R3" s="16" t="s">
        <v>324</v>
      </c>
    </row>
    <row r="4" spans="1:18" ht="24" x14ac:dyDescent="0.4">
      <c r="A4" s="74">
        <v>3</v>
      </c>
      <c r="B4" s="27" t="s">
        <v>100</v>
      </c>
      <c r="C4" s="8" t="s">
        <v>238</v>
      </c>
      <c r="D4" s="8" t="b">
        <v>0</v>
      </c>
      <c r="E4" s="8"/>
      <c r="F4" s="8" t="s">
        <v>174</v>
      </c>
      <c r="G4" s="8" t="b">
        <v>1</v>
      </c>
      <c r="H4" s="8">
        <v>3.1</v>
      </c>
      <c r="I4" s="8"/>
      <c r="J4" s="8"/>
      <c r="K4" s="8"/>
      <c r="L4" s="7" t="b">
        <v>1</v>
      </c>
      <c r="M4" s="7">
        <v>240</v>
      </c>
      <c r="N4" s="7"/>
      <c r="O4" s="8" t="s">
        <v>239</v>
      </c>
      <c r="P4" s="8" t="s">
        <v>359</v>
      </c>
      <c r="Q4" s="8"/>
      <c r="R4" s="16" t="s">
        <v>325</v>
      </c>
    </row>
    <row r="5" spans="1:18" ht="24" x14ac:dyDescent="0.4">
      <c r="A5" s="74">
        <v>4</v>
      </c>
      <c r="B5" s="30">
        <v>3.2</v>
      </c>
      <c r="C5" s="23" t="s">
        <v>215</v>
      </c>
      <c r="D5" s="23" t="b">
        <f>TRUE</f>
        <v>1</v>
      </c>
      <c r="E5" s="23"/>
      <c r="F5" s="23"/>
      <c r="G5" s="8" t="b">
        <v>1</v>
      </c>
      <c r="H5" s="23"/>
      <c r="I5" s="8" t="b">
        <v>1</v>
      </c>
      <c r="J5" s="23"/>
      <c r="K5" s="23"/>
      <c r="L5" s="23"/>
      <c r="M5" s="23"/>
      <c r="N5" s="8" t="b">
        <v>1</v>
      </c>
      <c r="O5" s="23"/>
      <c r="P5" s="23" t="s">
        <v>351</v>
      </c>
      <c r="Q5" s="23"/>
      <c r="R5" s="23"/>
    </row>
    <row r="6" spans="1:18" ht="24" x14ac:dyDescent="0.4">
      <c r="A6" s="74">
        <v>5</v>
      </c>
      <c r="B6" s="38" t="s">
        <v>101</v>
      </c>
      <c r="C6" s="39" t="s">
        <v>241</v>
      </c>
      <c r="D6" s="40" t="b">
        <f>TRUE</f>
        <v>1</v>
      </c>
      <c r="E6" s="8"/>
      <c r="F6" s="40" t="s">
        <v>420</v>
      </c>
      <c r="G6" s="8"/>
      <c r="H6" s="38">
        <v>3.2</v>
      </c>
      <c r="I6" s="38"/>
      <c r="J6" s="38"/>
      <c r="K6" s="40" t="b">
        <v>1</v>
      </c>
      <c r="L6" s="38"/>
      <c r="M6" s="38"/>
      <c r="N6" s="38"/>
      <c r="O6" s="38"/>
      <c r="P6" s="38" t="s">
        <v>351</v>
      </c>
      <c r="Q6" s="38"/>
      <c r="R6" s="38"/>
    </row>
    <row r="7" spans="1:18" ht="24" x14ac:dyDescent="0.4">
      <c r="A7" s="74">
        <v>6</v>
      </c>
      <c r="B7" s="26" t="s">
        <v>266</v>
      </c>
      <c r="C7" s="8" t="s">
        <v>237</v>
      </c>
      <c r="D7" s="8" t="b">
        <v>0</v>
      </c>
      <c r="E7" s="8"/>
      <c r="F7" s="40" t="s">
        <v>420</v>
      </c>
      <c r="G7" s="8" t="b">
        <v>1</v>
      </c>
      <c r="H7" s="27" t="s">
        <v>101</v>
      </c>
      <c r="I7" s="8"/>
      <c r="J7" s="8">
        <v>3.2</v>
      </c>
      <c r="K7" s="8"/>
      <c r="L7" s="8"/>
      <c r="M7" s="7">
        <v>1200</v>
      </c>
      <c r="N7" s="7"/>
      <c r="O7" s="8" t="s">
        <v>416</v>
      </c>
      <c r="P7" s="8" t="s">
        <v>351</v>
      </c>
      <c r="Q7" s="8"/>
      <c r="R7" s="8"/>
    </row>
    <row r="8" spans="1:18" ht="24" x14ac:dyDescent="0.4">
      <c r="A8" s="74">
        <v>7</v>
      </c>
      <c r="B8" s="26" t="s">
        <v>267</v>
      </c>
      <c r="C8" s="8" t="s">
        <v>238</v>
      </c>
      <c r="D8" s="8" t="b">
        <v>0</v>
      </c>
      <c r="E8" s="8"/>
      <c r="F8" s="40" t="s">
        <v>420</v>
      </c>
      <c r="G8" s="8" t="b">
        <v>1</v>
      </c>
      <c r="H8" s="27" t="s">
        <v>101</v>
      </c>
      <c r="I8" s="8"/>
      <c r="J8" s="8">
        <v>3.2</v>
      </c>
      <c r="K8" s="8"/>
      <c r="L8" s="8"/>
      <c r="M8" s="7">
        <v>800</v>
      </c>
      <c r="N8" s="7"/>
      <c r="O8" s="8" t="s">
        <v>416</v>
      </c>
      <c r="P8" s="8" t="s">
        <v>351</v>
      </c>
      <c r="Q8" s="8"/>
      <c r="R8" s="8"/>
    </row>
    <row r="9" spans="1:18" ht="24" x14ac:dyDescent="0.4">
      <c r="A9" s="74">
        <v>8</v>
      </c>
      <c r="B9" s="38" t="s">
        <v>102</v>
      </c>
      <c r="C9" s="39" t="s">
        <v>243</v>
      </c>
      <c r="D9" s="40" t="b">
        <f>TRUE</f>
        <v>1</v>
      </c>
      <c r="E9" s="8"/>
      <c r="F9" s="40" t="s">
        <v>431</v>
      </c>
      <c r="G9" s="8"/>
      <c r="H9" s="38">
        <v>3.2</v>
      </c>
      <c r="I9" s="38"/>
      <c r="J9" s="38"/>
      <c r="K9" s="40" t="b">
        <v>1</v>
      </c>
      <c r="L9" s="38"/>
      <c r="M9" s="38"/>
      <c r="N9" s="7"/>
      <c r="O9" s="38"/>
      <c r="P9" s="38" t="s">
        <v>351</v>
      </c>
      <c r="Q9" s="38"/>
      <c r="R9" s="38"/>
    </row>
    <row r="10" spans="1:18" ht="24" x14ac:dyDescent="0.4">
      <c r="A10" s="74">
        <v>9</v>
      </c>
      <c r="B10" s="27" t="s">
        <v>268</v>
      </c>
      <c r="C10" s="8" t="s">
        <v>244</v>
      </c>
      <c r="D10" s="8" t="b">
        <v>0</v>
      </c>
      <c r="E10" s="8"/>
      <c r="F10" s="40" t="s">
        <v>431</v>
      </c>
      <c r="G10" s="8" t="b">
        <v>1</v>
      </c>
      <c r="H10" s="27" t="s">
        <v>102</v>
      </c>
      <c r="I10" s="8"/>
      <c r="J10" s="8">
        <v>3.2</v>
      </c>
      <c r="K10" s="8"/>
      <c r="L10" s="8"/>
      <c r="M10" s="7">
        <v>2200</v>
      </c>
      <c r="N10" s="7"/>
      <c r="O10" s="8" t="s">
        <v>416</v>
      </c>
      <c r="P10" s="8" t="s">
        <v>351</v>
      </c>
      <c r="Q10" s="8"/>
      <c r="R10" s="24" t="s">
        <v>326</v>
      </c>
    </row>
    <row r="11" spans="1:18" ht="24" x14ac:dyDescent="0.4">
      <c r="A11" s="74">
        <v>10</v>
      </c>
      <c r="B11" s="27" t="s">
        <v>269</v>
      </c>
      <c r="C11" s="8" t="s">
        <v>246</v>
      </c>
      <c r="D11" s="8" t="b">
        <v>0</v>
      </c>
      <c r="E11" s="8"/>
      <c r="F11" s="40" t="s">
        <v>431</v>
      </c>
      <c r="G11" s="8" t="b">
        <v>1</v>
      </c>
      <c r="H11" s="27" t="s">
        <v>102</v>
      </c>
      <c r="I11" s="8"/>
      <c r="J11" s="8">
        <v>3.2</v>
      </c>
      <c r="K11" s="8"/>
      <c r="L11" s="8"/>
      <c r="M11" s="7">
        <v>1500</v>
      </c>
      <c r="N11" s="7"/>
      <c r="O11" s="8" t="s">
        <v>416</v>
      </c>
      <c r="P11" s="8" t="s">
        <v>351</v>
      </c>
      <c r="Q11" s="8"/>
      <c r="R11" s="24" t="s">
        <v>327</v>
      </c>
    </row>
    <row r="12" spans="1:18" ht="24" x14ac:dyDescent="0.4">
      <c r="A12" s="74">
        <v>11</v>
      </c>
      <c r="B12" s="27" t="s">
        <v>270</v>
      </c>
      <c r="C12" s="8" t="s">
        <v>245</v>
      </c>
      <c r="D12" s="8" t="b">
        <v>0</v>
      </c>
      <c r="E12" s="8"/>
      <c r="F12" s="40" t="s">
        <v>431</v>
      </c>
      <c r="G12" s="8" t="b">
        <v>1</v>
      </c>
      <c r="H12" s="27" t="s">
        <v>102</v>
      </c>
      <c r="I12" s="8"/>
      <c r="J12" s="8">
        <v>3.2</v>
      </c>
      <c r="K12" s="8"/>
      <c r="L12" s="8"/>
      <c r="M12" s="7">
        <v>1200</v>
      </c>
      <c r="N12" s="7"/>
      <c r="O12" s="8" t="s">
        <v>416</v>
      </c>
      <c r="P12" s="8" t="s">
        <v>351</v>
      </c>
      <c r="Q12" s="8"/>
      <c r="R12" s="24" t="s">
        <v>328</v>
      </c>
    </row>
    <row r="13" spans="1:18" ht="24" x14ac:dyDescent="0.4">
      <c r="A13" s="74">
        <v>12</v>
      </c>
      <c r="B13" s="27" t="s">
        <v>271</v>
      </c>
      <c r="C13" s="8" t="s">
        <v>247</v>
      </c>
      <c r="D13" s="8" t="b">
        <v>0</v>
      </c>
      <c r="E13" s="8"/>
      <c r="F13" s="40" t="s">
        <v>431</v>
      </c>
      <c r="G13" s="8" t="b">
        <v>1</v>
      </c>
      <c r="H13" s="27" t="s">
        <v>102</v>
      </c>
      <c r="I13" s="8"/>
      <c r="J13" s="8">
        <v>3.2</v>
      </c>
      <c r="K13" s="8"/>
      <c r="L13" s="8"/>
      <c r="M13" s="7">
        <v>850</v>
      </c>
      <c r="N13" s="7"/>
      <c r="O13" s="8" t="s">
        <v>416</v>
      </c>
      <c r="P13" s="8" t="s">
        <v>351</v>
      </c>
      <c r="Q13" s="8"/>
      <c r="R13" s="24" t="s">
        <v>329</v>
      </c>
    </row>
    <row r="14" spans="1:18" ht="24" x14ac:dyDescent="0.4">
      <c r="A14" s="74">
        <v>13</v>
      </c>
      <c r="B14" s="30">
        <v>9.1</v>
      </c>
      <c r="C14" s="23" t="s">
        <v>248</v>
      </c>
      <c r="D14" s="23" t="b">
        <v>1</v>
      </c>
      <c r="E14" s="23"/>
      <c r="F14" s="8" t="s">
        <v>43</v>
      </c>
      <c r="G14" s="8" t="b">
        <v>1</v>
      </c>
      <c r="H14" s="23"/>
      <c r="I14" s="8" t="b">
        <v>1</v>
      </c>
      <c r="J14" s="23"/>
      <c r="K14" s="23"/>
      <c r="L14" s="23"/>
      <c r="M14" s="23"/>
      <c r="N14" s="8" t="b">
        <v>1</v>
      </c>
      <c r="O14" s="23"/>
      <c r="P14" s="23" t="s">
        <v>360</v>
      </c>
      <c r="Q14" s="23"/>
      <c r="R14" s="23"/>
    </row>
    <row r="15" spans="1:18" ht="24" x14ac:dyDescent="0.4">
      <c r="A15" s="74">
        <v>14</v>
      </c>
      <c r="B15" s="27" t="s">
        <v>399</v>
      </c>
      <c r="C15" s="8" t="s">
        <v>249</v>
      </c>
      <c r="D15" s="8" t="b">
        <v>1</v>
      </c>
      <c r="E15" s="8"/>
      <c r="F15" s="8"/>
      <c r="G15" s="8"/>
      <c r="H15" s="27">
        <v>9.1</v>
      </c>
      <c r="I15" s="8"/>
      <c r="J15" s="8"/>
      <c r="K15" s="27" t="b">
        <v>1</v>
      </c>
      <c r="L15" s="8"/>
      <c r="M15" s="7"/>
      <c r="N15" s="8"/>
      <c r="O15" s="8"/>
      <c r="P15" s="8" t="s">
        <v>214</v>
      </c>
      <c r="Q15" s="8"/>
      <c r="R15" s="24"/>
    </row>
    <row r="16" spans="1:18" ht="24" x14ac:dyDescent="0.4">
      <c r="A16" s="74">
        <v>15</v>
      </c>
      <c r="B16" s="27" t="s">
        <v>409</v>
      </c>
      <c r="C16" s="8" t="s">
        <v>43</v>
      </c>
      <c r="D16" s="8" t="b">
        <v>0</v>
      </c>
      <c r="E16" s="8"/>
      <c r="F16" s="8" t="s">
        <v>37</v>
      </c>
      <c r="G16" s="8" t="b">
        <v>1</v>
      </c>
      <c r="H16" s="27" t="s">
        <v>399</v>
      </c>
      <c r="I16" s="8"/>
      <c r="J16" s="27">
        <v>9.1</v>
      </c>
      <c r="K16" s="27"/>
      <c r="L16" s="8"/>
      <c r="M16" s="7">
        <v>35</v>
      </c>
      <c r="N16" s="7"/>
      <c r="O16" s="8" t="s">
        <v>274</v>
      </c>
      <c r="P16" s="8" t="s">
        <v>214</v>
      </c>
      <c r="Q16" s="8"/>
      <c r="R16" s="24" t="s">
        <v>250</v>
      </c>
    </row>
    <row r="17" spans="1:20" ht="24" x14ac:dyDescent="0.4">
      <c r="A17" s="74">
        <v>16</v>
      </c>
      <c r="B17" s="27" t="s">
        <v>400</v>
      </c>
      <c r="C17" s="8" t="s">
        <v>251</v>
      </c>
      <c r="D17" s="8" t="b">
        <v>1</v>
      </c>
      <c r="E17" s="8"/>
      <c r="F17" s="8"/>
      <c r="G17" s="8"/>
      <c r="H17" s="27">
        <v>9.1</v>
      </c>
      <c r="I17" s="8"/>
      <c r="J17" s="8"/>
      <c r="K17" s="27" t="b">
        <v>1</v>
      </c>
      <c r="L17" s="8"/>
      <c r="M17" s="7"/>
      <c r="N17" s="8"/>
      <c r="O17" s="8"/>
      <c r="P17" s="8" t="s">
        <v>214</v>
      </c>
      <c r="Q17" s="8"/>
      <c r="R17" s="24"/>
    </row>
    <row r="18" spans="1:20" ht="24" x14ac:dyDescent="0.4">
      <c r="A18" s="74">
        <v>17</v>
      </c>
      <c r="B18" s="27" t="s">
        <v>410</v>
      </c>
      <c r="C18" s="8" t="s">
        <v>43</v>
      </c>
      <c r="D18" s="8" t="b">
        <v>0</v>
      </c>
      <c r="E18" s="8"/>
      <c r="F18" s="8" t="s">
        <v>37</v>
      </c>
      <c r="G18" s="8" t="b">
        <v>1</v>
      </c>
      <c r="H18" s="27" t="s">
        <v>400</v>
      </c>
      <c r="I18" s="8"/>
      <c r="J18" s="27">
        <v>9.1</v>
      </c>
      <c r="K18" s="27"/>
      <c r="L18" s="8"/>
      <c r="M18" s="7">
        <v>50</v>
      </c>
      <c r="N18" s="7"/>
      <c r="O18" s="8" t="s">
        <v>274</v>
      </c>
      <c r="P18" s="8" t="s">
        <v>214</v>
      </c>
      <c r="Q18" s="8"/>
      <c r="R18" s="24" t="s">
        <v>252</v>
      </c>
    </row>
    <row r="19" spans="1:20" ht="24" x14ac:dyDescent="0.4">
      <c r="A19" s="74">
        <v>18</v>
      </c>
      <c r="B19" s="27" t="s">
        <v>401</v>
      </c>
      <c r="C19" s="8" t="s">
        <v>253</v>
      </c>
      <c r="D19" s="8" t="b">
        <v>1</v>
      </c>
      <c r="E19" s="8"/>
      <c r="F19" s="8"/>
      <c r="G19" s="8" t="b">
        <v>1</v>
      </c>
      <c r="H19" s="27"/>
      <c r="I19" s="8"/>
      <c r="J19" s="27"/>
      <c r="K19" s="27"/>
      <c r="L19" s="8"/>
      <c r="M19" s="7"/>
      <c r="N19" s="8" t="b">
        <v>1</v>
      </c>
      <c r="O19" s="8"/>
      <c r="P19" s="8"/>
      <c r="Q19" s="8"/>
      <c r="R19" s="24"/>
    </row>
    <row r="20" spans="1:20" ht="24" x14ac:dyDescent="0.4">
      <c r="A20" s="74">
        <v>19</v>
      </c>
      <c r="B20" s="27" t="s">
        <v>425</v>
      </c>
      <c r="C20" s="8" t="s">
        <v>253</v>
      </c>
      <c r="D20" s="8" t="b">
        <v>0</v>
      </c>
      <c r="E20" s="8"/>
      <c r="F20" s="8"/>
      <c r="G20" s="8" t="b">
        <v>1</v>
      </c>
      <c r="H20" s="27" t="s">
        <v>401</v>
      </c>
      <c r="I20" s="8"/>
      <c r="J20" s="27"/>
      <c r="K20" s="27"/>
      <c r="L20" s="8"/>
      <c r="M20" s="7">
        <v>120</v>
      </c>
      <c r="N20" s="7"/>
      <c r="O20" s="8" t="s">
        <v>274</v>
      </c>
      <c r="P20" s="8" t="s">
        <v>213</v>
      </c>
      <c r="Q20" s="8"/>
      <c r="R20" s="24" t="s">
        <v>273</v>
      </c>
    </row>
    <row r="21" spans="1:20" ht="24" x14ac:dyDescent="0.4">
      <c r="A21" s="74">
        <v>20</v>
      </c>
      <c r="B21" s="30">
        <v>9.1999999999999993</v>
      </c>
      <c r="C21" s="23" t="s">
        <v>94</v>
      </c>
      <c r="D21" s="23" t="b">
        <v>1</v>
      </c>
      <c r="E21" s="48"/>
      <c r="F21" s="23"/>
      <c r="G21" s="8" t="b">
        <v>1</v>
      </c>
      <c r="H21" s="23"/>
      <c r="I21" s="23"/>
      <c r="J21" s="23"/>
      <c r="K21" s="23"/>
      <c r="L21" s="23"/>
      <c r="M21" s="23"/>
      <c r="N21" s="8" t="b">
        <v>1</v>
      </c>
      <c r="O21" s="23"/>
      <c r="P21" s="23" t="s">
        <v>353</v>
      </c>
      <c r="Q21" s="23"/>
      <c r="R21" s="23"/>
    </row>
    <row r="22" spans="1:20" s="41" customFormat="1" ht="24" x14ac:dyDescent="0.4">
      <c r="A22" s="74">
        <v>21</v>
      </c>
      <c r="B22" s="27" t="s">
        <v>402</v>
      </c>
      <c r="C22" s="8" t="s">
        <v>276</v>
      </c>
      <c r="D22" s="48" t="b">
        <v>0</v>
      </c>
      <c r="F22" s="48"/>
      <c r="G22" s="8" t="b">
        <v>1</v>
      </c>
      <c r="H22" s="48">
        <v>9.1999999999999993</v>
      </c>
      <c r="I22" s="48"/>
      <c r="J22" s="48"/>
      <c r="K22" s="48"/>
      <c r="L22" s="49" t="b">
        <v>1</v>
      </c>
      <c r="M22" s="49"/>
      <c r="N22" s="49"/>
      <c r="O22" s="8" t="s">
        <v>2</v>
      </c>
      <c r="P22" s="8" t="s">
        <v>352</v>
      </c>
      <c r="Q22" s="8"/>
      <c r="R22" s="49"/>
    </row>
    <row r="23" spans="1:20" s="41" customFormat="1" ht="24" x14ac:dyDescent="0.4">
      <c r="A23" s="74">
        <v>22</v>
      </c>
      <c r="B23" s="27" t="s">
        <v>403</v>
      </c>
      <c r="C23" s="8" t="s">
        <v>277</v>
      </c>
      <c r="D23" s="48" t="b">
        <v>0</v>
      </c>
      <c r="E23" s="48"/>
      <c r="F23" s="48"/>
      <c r="G23" s="8" t="b">
        <v>1</v>
      </c>
      <c r="H23" s="48">
        <v>9.1999999999999993</v>
      </c>
      <c r="I23" s="48"/>
      <c r="J23" s="48"/>
      <c r="K23" s="48"/>
      <c r="L23" s="49" t="b">
        <v>1</v>
      </c>
      <c r="M23" s="49"/>
      <c r="N23" s="49"/>
      <c r="O23" s="8" t="s">
        <v>377</v>
      </c>
      <c r="P23" s="8" t="s">
        <v>355</v>
      </c>
      <c r="Q23" s="8"/>
      <c r="R23" s="66" t="s">
        <v>374</v>
      </c>
    </row>
    <row r="24" spans="1:20" s="47" customFormat="1" ht="24" x14ac:dyDescent="0.4">
      <c r="A24" s="74">
        <v>23</v>
      </c>
      <c r="B24" s="27" t="s">
        <v>404</v>
      </c>
      <c r="C24" s="8" t="s">
        <v>422</v>
      </c>
      <c r="D24" s="7" t="b">
        <v>0</v>
      </c>
      <c r="E24" s="7"/>
      <c r="F24" s="53"/>
      <c r="G24" s="8" t="b">
        <v>1</v>
      </c>
      <c r="H24" s="48">
        <v>9.1999999999999993</v>
      </c>
      <c r="I24" s="8"/>
      <c r="J24" s="8"/>
      <c r="K24" s="8"/>
      <c r="L24" s="8" t="b">
        <v>1</v>
      </c>
      <c r="M24" s="7"/>
      <c r="N24" s="7"/>
      <c r="O24" s="8" t="s">
        <v>2</v>
      </c>
      <c r="P24" s="8" t="s">
        <v>353</v>
      </c>
      <c r="Q24" s="8"/>
      <c r="R24" s="63"/>
      <c r="T24"/>
    </row>
    <row r="25" spans="1:20" s="47" customFormat="1" ht="24" x14ac:dyDescent="0.4">
      <c r="A25" s="74">
        <v>24</v>
      </c>
      <c r="B25" s="27" t="s">
        <v>405</v>
      </c>
      <c r="C25" s="8" t="s">
        <v>423</v>
      </c>
      <c r="D25" s="7" t="b">
        <v>0</v>
      </c>
      <c r="E25" s="7"/>
      <c r="F25" s="53"/>
      <c r="G25" s="8" t="b">
        <v>1</v>
      </c>
      <c r="H25" s="48">
        <v>9.1999999999999993</v>
      </c>
      <c r="I25" s="8"/>
      <c r="J25" s="8"/>
      <c r="K25" s="8"/>
      <c r="L25" s="8" t="b">
        <v>1</v>
      </c>
      <c r="M25" s="7"/>
      <c r="N25" s="7"/>
      <c r="O25" s="8" t="s">
        <v>2</v>
      </c>
      <c r="P25" s="8" t="s">
        <v>354</v>
      </c>
      <c r="Q25" s="8"/>
      <c r="R25" s="63"/>
      <c r="T25"/>
    </row>
    <row r="26" spans="1:20" s="47" customFormat="1" ht="24" x14ac:dyDescent="0.4">
      <c r="A26" s="74">
        <v>25</v>
      </c>
      <c r="B26" s="27" t="s">
        <v>406</v>
      </c>
      <c r="C26" s="8" t="s">
        <v>378</v>
      </c>
      <c r="D26" s="7" t="b">
        <v>0</v>
      </c>
      <c r="E26" s="7"/>
      <c r="F26" s="53"/>
      <c r="G26" s="8" t="b">
        <v>1</v>
      </c>
      <c r="H26" s="48">
        <v>9.1999999999999993</v>
      </c>
      <c r="I26" s="8"/>
      <c r="J26" s="8"/>
      <c r="K26" s="8"/>
      <c r="L26" s="8" t="b">
        <v>1</v>
      </c>
      <c r="M26" s="7"/>
      <c r="N26" s="7"/>
      <c r="O26" s="8" t="s">
        <v>2</v>
      </c>
      <c r="P26" s="8" t="s">
        <v>380</v>
      </c>
      <c r="Q26" s="8"/>
      <c r="R26" s="63"/>
      <c r="T26"/>
    </row>
    <row r="27" spans="1:20" s="47" customFormat="1" ht="24" x14ac:dyDescent="0.4">
      <c r="A27" s="74">
        <v>26</v>
      </c>
      <c r="B27" s="27" t="s">
        <v>407</v>
      </c>
      <c r="C27" s="8" t="s">
        <v>379</v>
      </c>
      <c r="D27" s="7" t="b">
        <v>0</v>
      </c>
      <c r="E27" s="7"/>
      <c r="F27" s="53"/>
      <c r="G27" s="8" t="b">
        <v>1</v>
      </c>
      <c r="H27" s="48">
        <v>9.1999999999999993</v>
      </c>
      <c r="I27" s="8"/>
      <c r="J27" s="8"/>
      <c r="K27" s="8"/>
      <c r="L27" s="8" t="b">
        <v>1</v>
      </c>
      <c r="M27" s="7"/>
      <c r="N27" s="7"/>
      <c r="O27" s="8" t="s">
        <v>373</v>
      </c>
      <c r="P27" s="8" t="s">
        <v>355</v>
      </c>
      <c r="Q27" s="8"/>
      <c r="R27" s="63"/>
      <c r="T27"/>
    </row>
    <row r="28" spans="1:20" s="41" customFormat="1" ht="24" x14ac:dyDescent="0.4">
      <c r="A28" s="74">
        <v>27</v>
      </c>
      <c r="B28" s="27" t="s">
        <v>408</v>
      </c>
      <c r="C28" s="8" t="s">
        <v>350</v>
      </c>
      <c r="D28" s="8" t="b">
        <v>0</v>
      </c>
      <c r="E28" s="8"/>
      <c r="F28" s="8"/>
      <c r="G28" s="8" t="b">
        <v>1</v>
      </c>
      <c r="H28" s="48">
        <v>9.1999999999999993</v>
      </c>
      <c r="I28" s="42"/>
      <c r="J28" s="42"/>
      <c r="K28" s="42"/>
      <c r="L28" s="7" t="b">
        <v>1</v>
      </c>
      <c r="M28" s="43"/>
      <c r="N28" s="43"/>
      <c r="O28" s="8" t="s">
        <v>373</v>
      </c>
      <c r="P28" s="8" t="s">
        <v>354</v>
      </c>
      <c r="Q28" s="8" t="s">
        <v>309</v>
      </c>
      <c r="R28" s="76"/>
    </row>
    <row r="29" spans="1:20" ht="24" x14ac:dyDescent="0.4">
      <c r="A29" s="74">
        <v>28</v>
      </c>
      <c r="B29" s="30">
        <v>9.3000000000000007</v>
      </c>
      <c r="C29" s="23" t="s">
        <v>235</v>
      </c>
      <c r="D29" s="23" t="b">
        <f>TRUE</f>
        <v>1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 t="s">
        <v>361</v>
      </c>
      <c r="Q29" s="23"/>
      <c r="R29" s="23"/>
    </row>
    <row r="30" spans="1:20" ht="24" x14ac:dyDescent="0.4">
      <c r="A30" s="74">
        <v>29</v>
      </c>
      <c r="B30" s="27" t="s">
        <v>411</v>
      </c>
      <c r="C30" s="8" t="s">
        <v>236</v>
      </c>
      <c r="D30" s="8" t="b">
        <v>0</v>
      </c>
      <c r="E30" s="23" t="b">
        <f>TRUE</f>
        <v>1</v>
      </c>
      <c r="F30" s="8"/>
      <c r="G30" s="23" t="b">
        <f>TRUE</f>
        <v>1</v>
      </c>
      <c r="H30" s="27">
        <v>9.3000000000000007</v>
      </c>
      <c r="I30" s="8"/>
      <c r="J30" s="8"/>
      <c r="K30" s="8"/>
      <c r="L30" s="7" t="b">
        <v>1</v>
      </c>
      <c r="M30" s="7"/>
      <c r="N30" s="7"/>
      <c r="O30" s="8" t="s">
        <v>373</v>
      </c>
      <c r="P30" s="8"/>
      <c r="Q30" s="8" t="s">
        <v>309</v>
      </c>
      <c r="R30" s="24"/>
    </row>
  </sheetData>
  <phoneticPr fontId="5" type="noConversion"/>
  <conditionalFormatting sqref="G24:G27 D23:G23 D22 F22:G22 D16:G16 D14:E15 D17:E17 G17 D28:G28 D29 F29:G29 D30:G30 G14:G15 D18:G21 D2:G13">
    <cfRule type="cellIs" dxfId="115" priority="15" operator="equal">
      <formula>TRUE</formula>
    </cfRule>
  </conditionalFormatting>
  <conditionalFormatting sqref="G1">
    <cfRule type="cellIs" dxfId="114" priority="14" operator="equal">
      <formula>TRUE</formula>
    </cfRule>
  </conditionalFormatting>
  <conditionalFormatting sqref="N2">
    <cfRule type="cellIs" dxfId="113" priority="13" operator="equal">
      <formula>TRUE</formula>
    </cfRule>
  </conditionalFormatting>
  <conditionalFormatting sqref="N21">
    <cfRule type="cellIs" dxfId="112" priority="11" operator="equal">
      <formula>TRUE</formula>
    </cfRule>
  </conditionalFormatting>
  <conditionalFormatting sqref="N5">
    <cfRule type="cellIs" dxfId="111" priority="9" operator="equal">
      <formula>TRUE</formula>
    </cfRule>
  </conditionalFormatting>
  <conditionalFormatting sqref="N14">
    <cfRule type="cellIs" dxfId="110" priority="7" operator="equal">
      <formula>TRUE</formula>
    </cfRule>
  </conditionalFormatting>
  <conditionalFormatting sqref="I5">
    <cfRule type="cellIs" dxfId="109" priority="6" operator="equal">
      <formula>TRUE</formula>
    </cfRule>
  </conditionalFormatting>
  <conditionalFormatting sqref="I14">
    <cfRule type="cellIs" dxfId="108" priority="5" operator="equal">
      <formula>TRUE</formula>
    </cfRule>
  </conditionalFormatting>
  <conditionalFormatting sqref="E1">
    <cfRule type="cellIs" dxfId="107" priority="4" operator="equal">
      <formula>TRUE</formula>
    </cfRule>
  </conditionalFormatting>
  <conditionalFormatting sqref="N15">
    <cfRule type="cellIs" dxfId="106" priority="3" operator="equal">
      <formula>TRUE</formula>
    </cfRule>
  </conditionalFormatting>
  <conditionalFormatting sqref="N17">
    <cfRule type="cellIs" dxfId="105" priority="2" operator="equal">
      <formula>TRUE</formula>
    </cfRule>
  </conditionalFormatting>
  <conditionalFormatting sqref="N19">
    <cfRule type="cellIs" dxfId="104" priority="1" operator="equal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226D8-9870-2D44-A1C4-694C292D2430}">
  <dimension ref="A1:S4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S36" sqref="S36"/>
    </sheetView>
  </sheetViews>
  <sheetFormatPr baseColWidth="10" defaultRowHeight="16" x14ac:dyDescent="0.2"/>
  <cols>
    <col min="1" max="1" width="5.5" bestFit="1" customWidth="1"/>
    <col min="2" max="2" width="10.5" style="29" bestFit="1" customWidth="1"/>
    <col min="3" max="3" width="30.1640625" customWidth="1"/>
    <col min="4" max="5" width="26.33203125" customWidth="1"/>
    <col min="6" max="6" width="15.1640625" bestFit="1" customWidth="1"/>
    <col min="7" max="7" width="26.33203125" customWidth="1"/>
    <col min="8" max="8" width="13.6640625" bestFit="1" customWidth="1"/>
    <col min="9" max="9" width="7.83203125" bestFit="1" customWidth="1"/>
    <col min="10" max="10" width="11" bestFit="1" customWidth="1"/>
    <col min="11" max="11" width="11.83203125" bestFit="1" customWidth="1"/>
    <col min="12" max="12" width="7.83203125" customWidth="1"/>
    <col min="13" max="13" width="12.5" bestFit="1" customWidth="1"/>
    <col min="14" max="14" width="7.1640625" customWidth="1"/>
    <col min="15" max="15" width="13.6640625" bestFit="1" customWidth="1"/>
    <col min="16" max="16" width="14.6640625" bestFit="1" customWidth="1"/>
    <col min="17" max="17" width="11.5" bestFit="1" customWidth="1"/>
    <col min="18" max="18" width="7.5" bestFit="1" customWidth="1"/>
    <col min="19" max="19" width="84.83203125" bestFit="1" customWidth="1"/>
  </cols>
  <sheetData>
    <row r="1" spans="1:19" ht="24" x14ac:dyDescent="0.4">
      <c r="A1" s="35" t="s">
        <v>162</v>
      </c>
      <c r="B1" s="35" t="s">
        <v>163</v>
      </c>
      <c r="C1" s="35" t="s">
        <v>0</v>
      </c>
      <c r="D1" s="36" t="s">
        <v>188</v>
      </c>
      <c r="E1" s="33" t="s">
        <v>421</v>
      </c>
      <c r="F1" s="36" t="s">
        <v>367</v>
      </c>
      <c r="G1" s="36" t="s">
        <v>370</v>
      </c>
      <c r="H1" s="36" t="s">
        <v>225</v>
      </c>
      <c r="I1" s="36" t="s">
        <v>195</v>
      </c>
      <c r="J1" s="33" t="s">
        <v>242</v>
      </c>
      <c r="K1" s="33" t="s">
        <v>272</v>
      </c>
      <c r="L1" s="33" t="s">
        <v>240</v>
      </c>
      <c r="M1" s="36" t="s">
        <v>189</v>
      </c>
      <c r="N1" s="35" t="s">
        <v>1</v>
      </c>
      <c r="O1" s="35" t="s">
        <v>398</v>
      </c>
      <c r="P1" s="35" t="s">
        <v>209</v>
      </c>
      <c r="Q1" s="35" t="s">
        <v>212</v>
      </c>
      <c r="R1" s="35" t="s">
        <v>165</v>
      </c>
      <c r="S1" s="35" t="s">
        <v>164</v>
      </c>
    </row>
    <row r="2" spans="1:19" x14ac:dyDescent="0.2">
      <c r="A2" s="35">
        <v>1</v>
      </c>
      <c r="B2" s="35">
        <v>1.1000000000000001</v>
      </c>
      <c r="C2" s="35" t="s">
        <v>4</v>
      </c>
      <c r="D2" s="35" t="b">
        <v>1</v>
      </c>
      <c r="E2" s="35"/>
      <c r="F2" s="35" t="s">
        <v>253</v>
      </c>
      <c r="G2" s="35" t="b">
        <v>1</v>
      </c>
      <c r="H2" s="35"/>
      <c r="I2" s="35"/>
      <c r="J2" s="35"/>
      <c r="K2" s="35"/>
      <c r="L2" s="35"/>
      <c r="M2" s="35"/>
      <c r="N2" s="37">
        <v>950</v>
      </c>
      <c r="O2" s="35" t="b">
        <v>1</v>
      </c>
      <c r="P2" s="35"/>
      <c r="Q2" s="35" t="s">
        <v>213</v>
      </c>
      <c r="R2" s="35" t="s">
        <v>166</v>
      </c>
      <c r="S2" s="35" t="s">
        <v>310</v>
      </c>
    </row>
    <row r="3" spans="1:19" x14ac:dyDescent="0.2">
      <c r="A3" s="35">
        <v>2</v>
      </c>
      <c r="B3" s="35" t="s">
        <v>192</v>
      </c>
      <c r="C3" s="35" t="s">
        <v>190</v>
      </c>
      <c r="D3" s="35" t="b">
        <v>0</v>
      </c>
      <c r="E3" s="35"/>
      <c r="F3" s="35"/>
      <c r="G3" s="35" t="b">
        <v>1</v>
      </c>
      <c r="H3" s="35">
        <v>1.1000000000000001</v>
      </c>
      <c r="I3" s="35">
        <v>1.1000000000000001</v>
      </c>
      <c r="J3" s="35"/>
      <c r="K3" s="35"/>
      <c r="L3" s="35"/>
      <c r="M3" s="35" t="b">
        <v>1</v>
      </c>
      <c r="N3" s="37"/>
      <c r="O3" s="37"/>
      <c r="P3" s="35" t="s">
        <v>210</v>
      </c>
      <c r="Q3" s="35" t="s">
        <v>213</v>
      </c>
      <c r="R3" s="35"/>
      <c r="S3" s="35"/>
    </row>
    <row r="4" spans="1:19" x14ac:dyDescent="0.2">
      <c r="A4" s="35">
        <v>3</v>
      </c>
      <c r="B4" s="35" t="s">
        <v>193</v>
      </c>
      <c r="C4" s="35" t="s">
        <v>97</v>
      </c>
      <c r="D4" s="35" t="b">
        <v>0</v>
      </c>
      <c r="E4" s="35"/>
      <c r="F4" s="35"/>
      <c r="G4" s="35" t="b">
        <v>1</v>
      </c>
      <c r="H4" s="35">
        <v>1.1000000000000001</v>
      </c>
      <c r="I4" s="35">
        <v>1.1000000000000001</v>
      </c>
      <c r="J4" s="35"/>
      <c r="K4" s="35"/>
      <c r="L4" s="35"/>
      <c r="M4" s="35" t="b">
        <v>1</v>
      </c>
      <c r="N4" s="37"/>
      <c r="O4" s="37"/>
      <c r="P4" s="35" t="s">
        <v>210</v>
      </c>
      <c r="Q4" s="35" t="s">
        <v>213</v>
      </c>
      <c r="R4" s="35"/>
      <c r="S4" s="35"/>
    </row>
    <row r="5" spans="1:19" x14ac:dyDescent="0.2">
      <c r="A5" s="35">
        <v>4</v>
      </c>
      <c r="B5" s="35" t="s">
        <v>194</v>
      </c>
      <c r="C5" s="35" t="s">
        <v>191</v>
      </c>
      <c r="D5" s="35" t="b">
        <v>0</v>
      </c>
      <c r="E5" s="35"/>
      <c r="F5" s="35"/>
      <c r="G5" s="35" t="b">
        <v>1</v>
      </c>
      <c r="H5" s="35">
        <v>1.1000000000000001</v>
      </c>
      <c r="I5" s="35">
        <v>1.1000000000000001</v>
      </c>
      <c r="J5" s="35"/>
      <c r="K5" s="35"/>
      <c r="L5" s="35"/>
      <c r="M5" s="35" t="b">
        <v>1</v>
      </c>
      <c r="N5" s="37"/>
      <c r="O5" s="37"/>
      <c r="P5" s="35" t="s">
        <v>210</v>
      </c>
      <c r="Q5" s="35" t="s">
        <v>213</v>
      </c>
      <c r="R5" s="35"/>
      <c r="S5" s="35"/>
    </row>
    <row r="6" spans="1:19" x14ac:dyDescent="0.2">
      <c r="A6" s="35">
        <v>5</v>
      </c>
      <c r="B6" s="35">
        <v>1.2</v>
      </c>
      <c r="C6" s="35" t="s">
        <v>6</v>
      </c>
      <c r="D6" s="35" t="b">
        <v>1</v>
      </c>
      <c r="E6" s="35"/>
      <c r="F6" s="35" t="s">
        <v>253</v>
      </c>
      <c r="G6" s="35" t="b">
        <v>1</v>
      </c>
      <c r="H6" s="35"/>
      <c r="I6" s="35"/>
      <c r="J6" s="35"/>
      <c r="K6" s="35"/>
      <c r="L6" s="35"/>
      <c r="M6" s="35"/>
      <c r="N6" s="37">
        <v>700</v>
      </c>
      <c r="O6" s="35" t="b">
        <v>1</v>
      </c>
      <c r="P6" s="35"/>
      <c r="Q6" s="35" t="s">
        <v>213</v>
      </c>
      <c r="R6" s="35" t="s">
        <v>166</v>
      </c>
      <c r="S6" s="35" t="s">
        <v>311</v>
      </c>
    </row>
    <row r="7" spans="1:19" x14ac:dyDescent="0.2">
      <c r="A7" s="35">
        <v>6</v>
      </c>
      <c r="B7" s="35" t="s">
        <v>196</v>
      </c>
      <c r="C7" s="35" t="s">
        <v>190</v>
      </c>
      <c r="D7" s="35" t="b">
        <v>0</v>
      </c>
      <c r="E7" s="35"/>
      <c r="F7" s="35"/>
      <c r="G7" s="35" t="b">
        <v>1</v>
      </c>
      <c r="H7" s="35">
        <v>1.2</v>
      </c>
      <c r="I7" s="35">
        <v>1.2</v>
      </c>
      <c r="J7" s="35"/>
      <c r="K7" s="35"/>
      <c r="L7" s="35"/>
      <c r="M7" s="35" t="b">
        <v>1</v>
      </c>
      <c r="N7" s="37"/>
      <c r="O7" s="37"/>
      <c r="P7" s="35" t="s">
        <v>210</v>
      </c>
      <c r="Q7" s="35" t="s">
        <v>213</v>
      </c>
      <c r="R7" s="35"/>
      <c r="S7" s="35"/>
    </row>
    <row r="8" spans="1:19" x14ac:dyDescent="0.2">
      <c r="A8" s="35">
        <v>7</v>
      </c>
      <c r="B8" s="35" t="s">
        <v>197</v>
      </c>
      <c r="C8" s="35" t="s">
        <v>97</v>
      </c>
      <c r="D8" s="35" t="b">
        <v>0</v>
      </c>
      <c r="E8" s="35"/>
      <c r="F8" s="35"/>
      <c r="G8" s="35" t="b">
        <v>1</v>
      </c>
      <c r="H8" s="35">
        <v>1.2</v>
      </c>
      <c r="I8" s="35">
        <v>1.2</v>
      </c>
      <c r="J8" s="35"/>
      <c r="K8" s="35"/>
      <c r="L8" s="35"/>
      <c r="M8" s="35" t="b">
        <v>1</v>
      </c>
      <c r="N8" s="37"/>
      <c r="O8" s="37"/>
      <c r="P8" s="35" t="s">
        <v>210</v>
      </c>
      <c r="Q8" s="35" t="s">
        <v>213</v>
      </c>
      <c r="R8" s="35"/>
      <c r="S8" s="35"/>
    </row>
    <row r="9" spans="1:19" x14ac:dyDescent="0.2">
      <c r="A9" s="35">
        <v>8</v>
      </c>
      <c r="B9" s="35" t="s">
        <v>198</v>
      </c>
      <c r="C9" s="35" t="s">
        <v>191</v>
      </c>
      <c r="D9" s="35" t="b">
        <v>0</v>
      </c>
      <c r="E9" s="35"/>
      <c r="F9" s="35"/>
      <c r="G9" s="35" t="b">
        <v>1</v>
      </c>
      <c r="H9" s="35">
        <v>1.2</v>
      </c>
      <c r="I9" s="35">
        <v>1.2</v>
      </c>
      <c r="J9" s="35"/>
      <c r="K9" s="35"/>
      <c r="L9" s="35"/>
      <c r="M9" s="35" t="b">
        <v>1</v>
      </c>
      <c r="N9" s="37"/>
      <c r="O9" s="37"/>
      <c r="P9" s="35" t="s">
        <v>210</v>
      </c>
      <c r="Q9" s="35" t="s">
        <v>213</v>
      </c>
      <c r="R9" s="35"/>
      <c r="S9" s="35"/>
    </row>
    <row r="10" spans="1:19" x14ac:dyDescent="0.2">
      <c r="A10" s="35">
        <v>9</v>
      </c>
      <c r="B10" s="35">
        <v>1.3</v>
      </c>
      <c r="C10" s="35" t="s">
        <v>248</v>
      </c>
      <c r="D10" s="35" t="b">
        <v>1</v>
      </c>
      <c r="E10" s="35"/>
      <c r="F10" s="35" t="s">
        <v>43</v>
      </c>
      <c r="G10" s="35" t="b">
        <v>1</v>
      </c>
      <c r="H10" s="35"/>
      <c r="I10" s="35"/>
      <c r="J10" s="35" t="b">
        <v>1</v>
      </c>
      <c r="K10" s="35"/>
      <c r="L10" s="35"/>
      <c r="M10" s="35"/>
      <c r="N10" s="37"/>
      <c r="O10" s="37" t="b">
        <v>1</v>
      </c>
      <c r="P10" s="35"/>
      <c r="Q10" s="35" t="s">
        <v>360</v>
      </c>
      <c r="R10" s="35"/>
      <c r="S10" s="35"/>
    </row>
    <row r="11" spans="1:19" ht="19" customHeight="1" x14ac:dyDescent="0.2">
      <c r="A11" s="35">
        <v>10</v>
      </c>
      <c r="B11" s="35" t="s">
        <v>364</v>
      </c>
      <c r="C11" s="35" t="s">
        <v>249</v>
      </c>
      <c r="D11" s="35" t="b">
        <v>1</v>
      </c>
      <c r="E11" s="35"/>
      <c r="F11" s="35"/>
      <c r="G11" s="35"/>
      <c r="H11" s="35">
        <v>1.3</v>
      </c>
      <c r="I11" s="35"/>
      <c r="J11" s="35"/>
      <c r="K11" s="35"/>
      <c r="L11" s="35" t="b">
        <v>1</v>
      </c>
      <c r="M11" s="35"/>
      <c r="N11" s="37"/>
      <c r="O11" s="35"/>
      <c r="P11" s="35"/>
      <c r="Q11" s="35" t="s">
        <v>214</v>
      </c>
      <c r="R11" s="35"/>
      <c r="S11" s="35"/>
    </row>
    <row r="12" spans="1:19" ht="19" customHeight="1" x14ac:dyDescent="0.2">
      <c r="A12" s="35">
        <v>11</v>
      </c>
      <c r="B12" s="35" t="s">
        <v>435</v>
      </c>
      <c r="C12" s="35" t="s">
        <v>43</v>
      </c>
      <c r="D12" s="35" t="b">
        <v>0</v>
      </c>
      <c r="E12" s="35"/>
      <c r="F12" s="35" t="s">
        <v>37</v>
      </c>
      <c r="G12" s="35" t="b">
        <v>1</v>
      </c>
      <c r="H12" s="35" t="s">
        <v>364</v>
      </c>
      <c r="I12" s="35"/>
      <c r="J12" s="35"/>
      <c r="K12" s="35">
        <v>1.3</v>
      </c>
      <c r="L12" s="35"/>
      <c r="M12" s="35"/>
      <c r="N12" s="37">
        <v>35</v>
      </c>
      <c r="O12" s="37"/>
      <c r="P12" s="35" t="s">
        <v>274</v>
      </c>
      <c r="Q12" s="35" t="s">
        <v>214</v>
      </c>
      <c r="R12" s="35"/>
      <c r="S12" s="35" t="s">
        <v>250</v>
      </c>
    </row>
    <row r="13" spans="1:19" ht="19" customHeight="1" x14ac:dyDescent="0.2">
      <c r="A13" s="35">
        <v>12</v>
      </c>
      <c r="B13" s="35" t="s">
        <v>436</v>
      </c>
      <c r="C13" s="35" t="s">
        <v>251</v>
      </c>
      <c r="D13" s="35" t="b">
        <v>1</v>
      </c>
      <c r="E13" s="35"/>
      <c r="F13" s="35"/>
      <c r="G13" s="35"/>
      <c r="H13" s="35">
        <v>1.3</v>
      </c>
      <c r="I13" s="35"/>
      <c r="J13" s="35"/>
      <c r="K13" s="35"/>
      <c r="L13" s="35" t="b">
        <v>1</v>
      </c>
      <c r="M13" s="35"/>
      <c r="N13" s="37"/>
      <c r="O13" s="37"/>
      <c r="P13" s="35"/>
      <c r="Q13" s="35" t="s">
        <v>214</v>
      </c>
      <c r="R13" s="35"/>
      <c r="S13" s="35"/>
    </row>
    <row r="14" spans="1:19" ht="19" customHeight="1" x14ac:dyDescent="0.2">
      <c r="A14" s="35">
        <v>13</v>
      </c>
      <c r="B14" s="35" t="s">
        <v>437</v>
      </c>
      <c r="C14" s="35" t="s">
        <v>43</v>
      </c>
      <c r="D14" s="35" t="b">
        <v>0</v>
      </c>
      <c r="E14" s="35"/>
      <c r="F14" s="35" t="s">
        <v>37</v>
      </c>
      <c r="G14" s="35" t="b">
        <v>1</v>
      </c>
      <c r="H14" s="35" t="s">
        <v>436</v>
      </c>
      <c r="I14" s="35"/>
      <c r="J14" s="35"/>
      <c r="K14" s="35">
        <v>1.3</v>
      </c>
      <c r="L14" s="35"/>
      <c r="M14" s="35"/>
      <c r="N14" s="37">
        <v>50</v>
      </c>
      <c r="O14" s="37"/>
      <c r="P14" s="35" t="s">
        <v>274</v>
      </c>
      <c r="Q14" s="35" t="s">
        <v>214</v>
      </c>
      <c r="R14" s="35"/>
      <c r="S14" s="35" t="s">
        <v>252</v>
      </c>
    </row>
    <row r="15" spans="1:19" ht="16" customHeight="1" x14ac:dyDescent="0.2">
      <c r="A15" s="35">
        <v>14</v>
      </c>
      <c r="B15" s="35">
        <v>1.4</v>
      </c>
      <c r="C15" s="35" t="s">
        <v>44</v>
      </c>
      <c r="D15" s="35" t="b">
        <v>1</v>
      </c>
      <c r="E15" s="35"/>
      <c r="F15" s="35"/>
      <c r="G15" s="35" t="b">
        <v>1</v>
      </c>
      <c r="H15" s="35"/>
      <c r="I15" s="35"/>
      <c r="J15" s="35"/>
      <c r="K15" s="35"/>
      <c r="L15" s="35"/>
      <c r="M15" s="35"/>
      <c r="N15" s="37"/>
      <c r="O15" s="35" t="b">
        <v>1</v>
      </c>
      <c r="P15" s="35"/>
      <c r="Q15" s="35" t="s">
        <v>2</v>
      </c>
      <c r="R15" s="35"/>
      <c r="S15" s="35" t="s">
        <v>348</v>
      </c>
    </row>
    <row r="16" spans="1:19" x14ac:dyDescent="0.2">
      <c r="A16" s="35">
        <v>15</v>
      </c>
      <c r="B16" s="35" t="s">
        <v>45</v>
      </c>
      <c r="C16" s="35" t="s">
        <v>9</v>
      </c>
      <c r="D16" s="35" t="b">
        <v>0</v>
      </c>
      <c r="E16" s="35"/>
      <c r="F16" s="35" t="s">
        <v>417</v>
      </c>
      <c r="G16" s="35" t="b">
        <v>1</v>
      </c>
      <c r="H16" s="35">
        <v>1.4</v>
      </c>
      <c r="I16" s="35"/>
      <c r="J16" s="35"/>
      <c r="K16" s="35"/>
      <c r="L16" s="35"/>
      <c r="M16" s="35" t="b">
        <v>1</v>
      </c>
      <c r="N16" s="37">
        <v>600</v>
      </c>
      <c r="O16" s="37"/>
      <c r="P16" s="35" t="s">
        <v>211</v>
      </c>
      <c r="Q16" s="35" t="s">
        <v>2</v>
      </c>
      <c r="R16" s="35" t="s">
        <v>166</v>
      </c>
      <c r="S16" s="35" t="s">
        <v>312</v>
      </c>
    </row>
    <row r="17" spans="1:19" x14ac:dyDescent="0.2">
      <c r="A17" s="35">
        <v>16</v>
      </c>
      <c r="B17" s="35" t="s">
        <v>46</v>
      </c>
      <c r="C17" s="35" t="s">
        <v>10</v>
      </c>
      <c r="D17" s="35" t="b">
        <v>0</v>
      </c>
      <c r="E17" s="35"/>
      <c r="F17" s="35" t="s">
        <v>7</v>
      </c>
      <c r="G17" s="35" t="b">
        <v>1</v>
      </c>
      <c r="H17" s="35">
        <v>1.4</v>
      </c>
      <c r="I17" s="35"/>
      <c r="J17" s="35"/>
      <c r="K17" s="35"/>
      <c r="L17" s="35"/>
      <c r="M17" s="35" t="b">
        <v>1</v>
      </c>
      <c r="N17" s="37">
        <v>1200</v>
      </c>
      <c r="O17" s="37"/>
      <c r="P17" s="35" t="s">
        <v>211</v>
      </c>
      <c r="Q17" s="35" t="s">
        <v>2</v>
      </c>
      <c r="R17" s="35" t="s">
        <v>166</v>
      </c>
      <c r="S17" s="35" t="s">
        <v>313</v>
      </c>
    </row>
    <row r="18" spans="1:19" x14ac:dyDescent="0.2">
      <c r="A18" s="35">
        <v>17</v>
      </c>
      <c r="B18" s="35">
        <v>1.5</v>
      </c>
      <c r="C18" s="35" t="s">
        <v>50</v>
      </c>
      <c r="D18" s="35" t="b">
        <v>0</v>
      </c>
      <c r="E18" s="35" t="b">
        <v>1</v>
      </c>
      <c r="F18" s="35"/>
      <c r="G18" s="35" t="b">
        <v>1</v>
      </c>
      <c r="H18" s="35"/>
      <c r="I18" s="35"/>
      <c r="J18" s="35"/>
      <c r="K18" s="35"/>
      <c r="L18" s="35"/>
      <c r="M18" s="35" t="b">
        <v>1</v>
      </c>
      <c r="N18" s="37">
        <v>300</v>
      </c>
      <c r="O18" s="37"/>
      <c r="P18" s="35" t="s">
        <v>375</v>
      </c>
      <c r="Q18" s="35" t="s">
        <v>216</v>
      </c>
      <c r="R18" s="35" t="s">
        <v>167</v>
      </c>
      <c r="S18" s="35" t="s">
        <v>318</v>
      </c>
    </row>
    <row r="19" spans="1:19" x14ac:dyDescent="0.2">
      <c r="A19" s="35">
        <v>18</v>
      </c>
      <c r="B19" s="35">
        <v>1.6</v>
      </c>
      <c r="C19" s="35" t="s">
        <v>51</v>
      </c>
      <c r="D19" s="35" t="b">
        <v>0</v>
      </c>
      <c r="E19" s="35" t="b">
        <v>1</v>
      </c>
      <c r="F19" s="35"/>
      <c r="G19" s="35" t="b">
        <v>1</v>
      </c>
      <c r="H19" s="35"/>
      <c r="I19" s="35"/>
      <c r="J19" s="35"/>
      <c r="K19" s="35"/>
      <c r="L19" s="35"/>
      <c r="M19" s="35" t="b">
        <v>1</v>
      </c>
      <c r="N19" s="37">
        <v>1500</v>
      </c>
      <c r="O19" s="37"/>
      <c r="P19" s="35" t="s">
        <v>224</v>
      </c>
      <c r="Q19" s="35" t="s">
        <v>217</v>
      </c>
      <c r="R19" s="35" t="s">
        <v>167</v>
      </c>
      <c r="S19" s="35" t="s">
        <v>347</v>
      </c>
    </row>
    <row r="20" spans="1:19" x14ac:dyDescent="0.2">
      <c r="A20" s="35">
        <v>19</v>
      </c>
      <c r="B20" s="35">
        <v>1.7</v>
      </c>
      <c r="C20" s="35" t="s">
        <v>200</v>
      </c>
      <c r="D20" s="35" t="b">
        <v>0</v>
      </c>
      <c r="E20" s="35" t="b">
        <v>1</v>
      </c>
      <c r="F20" s="35"/>
      <c r="G20" s="35" t="b">
        <v>1</v>
      </c>
      <c r="H20" s="35"/>
      <c r="I20" s="35"/>
      <c r="J20" s="35"/>
      <c r="K20" s="35"/>
      <c r="L20" s="35"/>
      <c r="M20" s="35" t="b">
        <v>1</v>
      </c>
      <c r="N20" s="37"/>
      <c r="O20" s="37"/>
      <c r="P20" s="35" t="s">
        <v>5</v>
      </c>
      <c r="Q20" s="35" t="s">
        <v>218</v>
      </c>
      <c r="R20" s="35"/>
      <c r="S20" s="35" t="s">
        <v>208</v>
      </c>
    </row>
    <row r="21" spans="1:19" x14ac:dyDescent="0.2">
      <c r="A21" s="35">
        <v>20</v>
      </c>
      <c r="B21" s="35">
        <v>1.8</v>
      </c>
      <c r="C21" s="35" t="s">
        <v>201</v>
      </c>
      <c r="D21" s="35" t="b">
        <v>0</v>
      </c>
      <c r="E21" s="35" t="b">
        <v>1</v>
      </c>
      <c r="F21" s="35"/>
      <c r="G21" s="35" t="b">
        <v>1</v>
      </c>
      <c r="H21" s="35"/>
      <c r="I21" s="35"/>
      <c r="J21" s="35"/>
      <c r="K21" s="35"/>
      <c r="L21" s="35"/>
      <c r="M21" s="35" t="b">
        <v>1</v>
      </c>
      <c r="N21" s="37"/>
      <c r="O21" s="37"/>
      <c r="P21" t="s">
        <v>373</v>
      </c>
      <c r="Q21" s="35" t="s">
        <v>219</v>
      </c>
      <c r="R21" s="35"/>
      <c r="S21" s="35" t="s">
        <v>208</v>
      </c>
    </row>
    <row r="22" spans="1:19" x14ac:dyDescent="0.2">
      <c r="A22" s="35">
        <v>21</v>
      </c>
      <c r="B22" s="35">
        <v>1.9</v>
      </c>
      <c r="C22" s="35" t="s">
        <v>202</v>
      </c>
      <c r="D22" s="35" t="b">
        <v>0</v>
      </c>
      <c r="E22" s="35" t="b">
        <v>1</v>
      </c>
      <c r="F22" s="35"/>
      <c r="G22" s="35" t="b">
        <v>1</v>
      </c>
      <c r="H22" s="35"/>
      <c r="I22" s="35"/>
      <c r="J22" s="35"/>
      <c r="K22" s="35"/>
      <c r="L22" s="35"/>
      <c r="M22" s="35" t="b">
        <v>1</v>
      </c>
      <c r="N22" s="37"/>
      <c r="O22" s="37"/>
      <c r="P22" t="s">
        <v>373</v>
      </c>
      <c r="Q22" s="35" t="s">
        <v>220</v>
      </c>
      <c r="R22" s="35"/>
      <c r="S22" s="35" t="s">
        <v>208</v>
      </c>
    </row>
    <row r="23" spans="1:19" x14ac:dyDescent="0.2">
      <c r="A23" s="35">
        <v>22</v>
      </c>
      <c r="B23" s="35">
        <v>1.1100000000000001</v>
      </c>
      <c r="C23" s="35" t="s">
        <v>203</v>
      </c>
      <c r="D23" s="35" t="b">
        <v>0</v>
      </c>
      <c r="E23" s="35" t="b">
        <v>1</v>
      </c>
      <c r="F23" s="35"/>
      <c r="G23" s="35" t="b">
        <v>1</v>
      </c>
      <c r="H23" s="35"/>
      <c r="I23" s="35"/>
      <c r="J23" s="35"/>
      <c r="K23" s="35"/>
      <c r="L23" s="35"/>
      <c r="M23" s="35" t="b">
        <v>1</v>
      </c>
      <c r="N23" s="37"/>
      <c r="O23" s="37"/>
      <c r="P23" t="s">
        <v>373</v>
      </c>
      <c r="Q23" s="35" t="s">
        <v>221</v>
      </c>
      <c r="R23" s="35"/>
      <c r="S23" s="35" t="s">
        <v>208</v>
      </c>
    </row>
    <row r="24" spans="1:19" x14ac:dyDescent="0.2">
      <c r="A24" s="35">
        <v>23</v>
      </c>
      <c r="B24" s="35">
        <v>1.1200000000000001</v>
      </c>
      <c r="C24" s="35" t="s">
        <v>204</v>
      </c>
      <c r="D24" s="35" t="b">
        <v>0</v>
      </c>
      <c r="E24" s="35" t="b">
        <v>1</v>
      </c>
      <c r="F24" s="35"/>
      <c r="G24" s="35" t="b">
        <v>1</v>
      </c>
      <c r="H24" s="35"/>
      <c r="I24" s="35"/>
      <c r="J24" s="35"/>
      <c r="K24" s="35"/>
      <c r="L24" s="35"/>
      <c r="M24" s="35" t="b">
        <v>1</v>
      </c>
      <c r="N24" s="37"/>
      <c r="O24" s="37"/>
      <c r="P24" t="s">
        <v>373</v>
      </c>
      <c r="Q24" s="35" t="s">
        <v>221</v>
      </c>
      <c r="R24" s="35"/>
      <c r="S24" s="35" t="s">
        <v>208</v>
      </c>
    </row>
    <row r="25" spans="1:19" x14ac:dyDescent="0.2">
      <c r="A25" s="35">
        <v>24</v>
      </c>
      <c r="B25" s="35">
        <v>1.1299999999999999</v>
      </c>
      <c r="C25" s="35" t="s">
        <v>205</v>
      </c>
      <c r="D25" s="35" t="b">
        <v>0</v>
      </c>
      <c r="E25" s="35" t="b">
        <v>1</v>
      </c>
      <c r="F25" s="35"/>
      <c r="G25" s="35" t="b">
        <v>1</v>
      </c>
      <c r="H25" s="35"/>
      <c r="I25" s="35"/>
      <c r="J25" s="35"/>
      <c r="K25" s="35"/>
      <c r="L25" s="35"/>
      <c r="M25" s="35" t="b">
        <v>1</v>
      </c>
      <c r="N25" s="37"/>
      <c r="O25" s="37"/>
      <c r="P25" s="35" t="s">
        <v>376</v>
      </c>
      <c r="Q25" s="35" t="s">
        <v>222</v>
      </c>
      <c r="R25" s="35"/>
      <c r="S25" s="35" t="s">
        <v>208</v>
      </c>
    </row>
    <row r="26" spans="1:19" x14ac:dyDescent="0.2">
      <c r="A26" s="35">
        <v>25</v>
      </c>
      <c r="B26" s="35">
        <v>1.1399999999999999</v>
      </c>
      <c r="C26" s="35" t="s">
        <v>206</v>
      </c>
      <c r="D26" s="35" t="b">
        <v>0</v>
      </c>
      <c r="E26" s="35" t="b">
        <v>1</v>
      </c>
      <c r="F26" s="35"/>
      <c r="G26" s="35" t="b">
        <v>1</v>
      </c>
      <c r="H26" s="35"/>
      <c r="I26" s="35"/>
      <c r="J26" s="35"/>
      <c r="K26" s="35"/>
      <c r="L26" s="35"/>
      <c r="M26" s="35" t="b">
        <v>1</v>
      </c>
      <c r="N26" s="37"/>
      <c r="O26" s="37"/>
      <c r="P26" t="s">
        <v>373</v>
      </c>
      <c r="Q26" s="35" t="s">
        <v>223</v>
      </c>
      <c r="R26" s="35"/>
      <c r="S26" s="35" t="s">
        <v>208</v>
      </c>
    </row>
    <row r="27" spans="1:19" x14ac:dyDescent="0.2">
      <c r="A27" s="35">
        <v>26</v>
      </c>
      <c r="B27" s="35">
        <v>1.1499999999999999</v>
      </c>
      <c r="C27" s="35" t="s">
        <v>207</v>
      </c>
      <c r="D27" s="35" t="b">
        <v>0</v>
      </c>
      <c r="E27" s="35" t="b">
        <v>1</v>
      </c>
      <c r="F27" s="35"/>
      <c r="G27" s="35" t="b">
        <v>1</v>
      </c>
      <c r="H27" s="35"/>
      <c r="I27" s="35"/>
      <c r="J27" s="35"/>
      <c r="K27" s="35"/>
      <c r="L27" s="35"/>
      <c r="M27" s="35" t="b">
        <v>1</v>
      </c>
      <c r="N27" s="37"/>
      <c r="O27" s="37"/>
      <c r="P27" s="35" t="s">
        <v>5</v>
      </c>
      <c r="Q27" s="35" t="s">
        <v>219</v>
      </c>
      <c r="R27" s="35"/>
      <c r="S27" s="35" t="s">
        <v>208</v>
      </c>
    </row>
    <row r="28" spans="1:19" x14ac:dyDescent="0.2">
      <c r="A28" s="35">
        <v>27</v>
      </c>
      <c r="B28" s="35">
        <v>1.1599999999999999</v>
      </c>
      <c r="C28" t="s">
        <v>263</v>
      </c>
      <c r="D28" s="35" t="b">
        <v>0</v>
      </c>
      <c r="E28" s="35" t="b">
        <v>1</v>
      </c>
      <c r="F28" s="35"/>
      <c r="G28" s="35" t="b">
        <v>1</v>
      </c>
      <c r="H28" s="35"/>
      <c r="M28" s="35" t="b">
        <v>1</v>
      </c>
      <c r="N28" s="35"/>
      <c r="O28" s="35"/>
      <c r="P28" t="s">
        <v>373</v>
      </c>
      <c r="Q28" s="35" t="s">
        <v>356</v>
      </c>
      <c r="S28" s="35" t="s">
        <v>232</v>
      </c>
    </row>
    <row r="29" spans="1:19" x14ac:dyDescent="0.2">
      <c r="A29" s="35">
        <v>28</v>
      </c>
      <c r="B29" s="35">
        <v>1.17</v>
      </c>
      <c r="C29" s="35" t="s">
        <v>174</v>
      </c>
      <c r="D29" s="35" t="b">
        <f>TRUE</f>
        <v>1</v>
      </c>
      <c r="E29" s="35"/>
      <c r="F29" s="35"/>
      <c r="G29" s="35" t="b">
        <v>1</v>
      </c>
      <c r="H29" s="35"/>
      <c r="I29" s="35"/>
      <c r="J29" s="35"/>
      <c r="K29" s="35"/>
      <c r="L29" s="35"/>
      <c r="M29" s="35"/>
      <c r="N29" s="37"/>
      <c r="O29" s="37" t="b">
        <v>1</v>
      </c>
      <c r="Q29" s="35" t="s">
        <v>359</v>
      </c>
      <c r="R29" s="35"/>
      <c r="S29" s="35" t="s">
        <v>349</v>
      </c>
    </row>
    <row r="30" spans="1:19" x14ac:dyDescent="0.2">
      <c r="A30" s="35">
        <v>29</v>
      </c>
      <c r="B30" s="35" t="s">
        <v>280</v>
      </c>
      <c r="C30" s="35" t="s">
        <v>237</v>
      </c>
      <c r="D30" s="35" t="b">
        <f>FALSE</f>
        <v>0</v>
      </c>
      <c r="E30" s="35"/>
      <c r="F30" s="35" t="s">
        <v>174</v>
      </c>
      <c r="G30" s="35" t="b">
        <v>1</v>
      </c>
      <c r="H30" s="35">
        <v>1.17</v>
      </c>
      <c r="I30" s="35"/>
      <c r="J30" s="35"/>
      <c r="K30" s="35"/>
      <c r="L30" s="35"/>
      <c r="M30" s="35" t="b">
        <v>1</v>
      </c>
      <c r="N30" s="37">
        <v>270</v>
      </c>
      <c r="O30" s="37"/>
      <c r="P30" s="35" t="s">
        <v>239</v>
      </c>
      <c r="Q30" s="35" t="s">
        <v>359</v>
      </c>
      <c r="R30" s="35"/>
      <c r="S30" s="35" t="s">
        <v>324</v>
      </c>
    </row>
    <row r="31" spans="1:19" x14ac:dyDescent="0.2">
      <c r="A31" s="35">
        <v>30</v>
      </c>
      <c r="B31" s="35" t="s">
        <v>281</v>
      </c>
      <c r="C31" t="s">
        <v>238</v>
      </c>
      <c r="D31" s="35" t="b">
        <v>0</v>
      </c>
      <c r="E31" s="35"/>
      <c r="F31" s="35" t="s">
        <v>174</v>
      </c>
      <c r="G31" s="35" t="b">
        <v>1</v>
      </c>
      <c r="H31" s="35">
        <v>1.17</v>
      </c>
      <c r="M31" s="35" t="b">
        <v>1</v>
      </c>
      <c r="N31" s="35">
        <v>240</v>
      </c>
      <c r="O31" s="35"/>
      <c r="P31" t="s">
        <v>239</v>
      </c>
      <c r="Q31" s="35" t="s">
        <v>359</v>
      </c>
      <c r="S31" s="35" t="s">
        <v>325</v>
      </c>
    </row>
    <row r="32" spans="1:19" x14ac:dyDescent="0.2">
      <c r="A32" s="35">
        <v>31</v>
      </c>
      <c r="B32" s="35">
        <v>1.18</v>
      </c>
      <c r="C32" t="s">
        <v>215</v>
      </c>
      <c r="D32" s="35" t="b">
        <v>1</v>
      </c>
      <c r="E32" s="35"/>
      <c r="F32" s="35"/>
      <c r="G32" s="35" t="b">
        <v>1</v>
      </c>
      <c r="H32" s="35"/>
      <c r="J32" s="35"/>
      <c r="K32" s="35"/>
      <c r="N32" s="37"/>
      <c r="O32" s="35" t="b">
        <v>1</v>
      </c>
      <c r="Q32" s="35" t="s">
        <v>351</v>
      </c>
    </row>
    <row r="33" spans="1:19" x14ac:dyDescent="0.2">
      <c r="A33" s="35">
        <v>32</v>
      </c>
      <c r="B33" s="35" t="s">
        <v>365</v>
      </c>
      <c r="C33" s="35" t="s">
        <v>234</v>
      </c>
      <c r="D33" s="35" t="b">
        <v>0</v>
      </c>
      <c r="E33" s="35"/>
      <c r="F33" s="35" t="s">
        <v>418</v>
      </c>
      <c r="G33" s="35" t="b">
        <v>1</v>
      </c>
      <c r="H33" s="35">
        <v>1.18</v>
      </c>
      <c r="M33" s="35" t="b">
        <v>1</v>
      </c>
      <c r="N33" s="37">
        <v>1450</v>
      </c>
      <c r="O33" s="37"/>
      <c r="P33" t="s">
        <v>416</v>
      </c>
      <c r="Q33" s="35" t="s">
        <v>351</v>
      </c>
      <c r="S33" s="35" t="s">
        <v>346</v>
      </c>
    </row>
    <row r="34" spans="1:19" x14ac:dyDescent="0.2">
      <c r="A34" s="35">
        <v>33</v>
      </c>
      <c r="B34" s="35" t="s">
        <v>366</v>
      </c>
      <c r="C34" s="35" t="s">
        <v>279</v>
      </c>
      <c r="D34" s="35" t="b">
        <v>0</v>
      </c>
      <c r="E34" s="35"/>
      <c r="F34" s="35" t="s">
        <v>419</v>
      </c>
      <c r="G34" s="35" t="b">
        <v>1</v>
      </c>
      <c r="H34" s="35">
        <v>1.18</v>
      </c>
      <c r="M34" s="35" t="b">
        <v>1</v>
      </c>
      <c r="N34" s="37">
        <v>900</v>
      </c>
      <c r="O34" s="37"/>
      <c r="P34" t="s">
        <v>416</v>
      </c>
      <c r="Q34" s="35" t="s">
        <v>351</v>
      </c>
      <c r="S34" s="35" t="s">
        <v>319</v>
      </c>
    </row>
    <row r="35" spans="1:19" x14ac:dyDescent="0.2">
      <c r="A35" s="35">
        <v>34</v>
      </c>
      <c r="B35" s="35">
        <v>1.19</v>
      </c>
      <c r="C35" s="35" t="s">
        <v>372</v>
      </c>
      <c r="D35" s="35" t="b">
        <v>1</v>
      </c>
      <c r="E35" s="35"/>
      <c r="F35" s="35"/>
      <c r="G35" s="35"/>
      <c r="M35" s="35"/>
      <c r="N35" s="35"/>
      <c r="O35" s="35"/>
      <c r="Q35" s="35" t="s">
        <v>218</v>
      </c>
      <c r="S35" s="35"/>
    </row>
    <row r="36" spans="1:19" x14ac:dyDescent="0.2">
      <c r="A36" s="35">
        <v>35</v>
      </c>
      <c r="B36" s="35" t="s">
        <v>439</v>
      </c>
      <c r="C36" t="s">
        <v>264</v>
      </c>
      <c r="D36" s="35" t="b">
        <v>0</v>
      </c>
      <c r="E36" s="35" t="b">
        <v>1</v>
      </c>
      <c r="F36" s="35"/>
      <c r="G36" s="35" t="b">
        <v>1</v>
      </c>
      <c r="H36" s="35">
        <v>1.19</v>
      </c>
      <c r="M36" s="35" t="b">
        <v>1</v>
      </c>
      <c r="N36" s="35"/>
      <c r="O36" s="35"/>
      <c r="P36" t="s">
        <v>373</v>
      </c>
      <c r="Q36" s="35" t="s">
        <v>357</v>
      </c>
      <c r="S36" s="35" t="s">
        <v>233</v>
      </c>
    </row>
    <row r="37" spans="1:19" x14ac:dyDescent="0.2">
      <c r="A37" s="35">
        <v>36</v>
      </c>
      <c r="B37" s="35" t="s">
        <v>440</v>
      </c>
      <c r="C37" t="s">
        <v>265</v>
      </c>
      <c r="D37" s="35" t="b">
        <v>0</v>
      </c>
      <c r="E37" s="35" t="b">
        <v>1</v>
      </c>
      <c r="F37" s="35"/>
      <c r="G37" s="35" t="b">
        <v>1</v>
      </c>
      <c r="H37" s="35">
        <v>1.19</v>
      </c>
      <c r="M37" s="35" t="b">
        <v>1</v>
      </c>
      <c r="N37" s="35"/>
      <c r="O37" s="35"/>
      <c r="P37" t="s">
        <v>373</v>
      </c>
      <c r="Q37" s="35" t="s">
        <v>358</v>
      </c>
      <c r="S37" s="35" t="s">
        <v>233</v>
      </c>
    </row>
    <row r="38" spans="1:19" x14ac:dyDescent="0.2">
      <c r="A38" s="35">
        <v>37</v>
      </c>
      <c r="B38" s="35">
        <v>9.1999999999999993</v>
      </c>
      <c r="C38" s="35" t="s">
        <v>94</v>
      </c>
      <c r="D38" s="35" t="b">
        <v>1</v>
      </c>
      <c r="E38" s="35"/>
      <c r="F38" s="35"/>
      <c r="G38" s="35" t="b">
        <v>1</v>
      </c>
      <c r="N38" s="37"/>
      <c r="O38" s="35" t="b">
        <v>1</v>
      </c>
      <c r="Q38" s="35" t="s">
        <v>353</v>
      </c>
    </row>
    <row r="39" spans="1:19" x14ac:dyDescent="0.2">
      <c r="A39" s="35">
        <v>38</v>
      </c>
      <c r="B39" s="35" t="s">
        <v>402</v>
      </c>
      <c r="C39" s="35" t="s">
        <v>276</v>
      </c>
      <c r="D39" s="35" t="b">
        <v>0</v>
      </c>
      <c r="E39" s="35"/>
      <c r="F39" s="35"/>
      <c r="G39" s="35" t="b">
        <v>1</v>
      </c>
      <c r="H39" s="35">
        <v>9.1999999999999993</v>
      </c>
      <c r="M39" s="35" t="b">
        <v>1</v>
      </c>
      <c r="N39" s="37"/>
      <c r="O39" s="37"/>
      <c r="P39" t="s">
        <v>2</v>
      </c>
      <c r="Q39" t="s">
        <v>352</v>
      </c>
    </row>
    <row r="40" spans="1:19" x14ac:dyDescent="0.2">
      <c r="A40" s="35">
        <v>39</v>
      </c>
      <c r="B40" s="35" t="s">
        <v>403</v>
      </c>
      <c r="C40" s="35" t="s">
        <v>277</v>
      </c>
      <c r="D40" s="35" t="b">
        <v>0</v>
      </c>
      <c r="E40" s="35"/>
      <c r="F40" s="35"/>
      <c r="G40" s="35" t="b">
        <v>1</v>
      </c>
      <c r="H40" s="35">
        <v>9.1999999999999993</v>
      </c>
      <c r="M40" s="35" t="b">
        <v>1</v>
      </c>
      <c r="N40" s="37"/>
      <c r="O40" s="37"/>
      <c r="P40" t="s">
        <v>377</v>
      </c>
      <c r="Q40" s="35" t="s">
        <v>355</v>
      </c>
      <c r="S40" t="s">
        <v>374</v>
      </c>
    </row>
    <row r="41" spans="1:19" x14ac:dyDescent="0.2">
      <c r="A41" s="35">
        <v>40</v>
      </c>
      <c r="B41" s="35" t="s">
        <v>404</v>
      </c>
      <c r="C41" s="35" t="s">
        <v>422</v>
      </c>
      <c r="D41" s="35" t="b">
        <v>0</v>
      </c>
      <c r="E41" s="35"/>
      <c r="F41" s="35"/>
      <c r="G41" s="35" t="b">
        <v>1</v>
      </c>
      <c r="H41" s="35">
        <v>9.1999999999999993</v>
      </c>
      <c r="M41" s="35" t="b">
        <v>1</v>
      </c>
      <c r="N41" s="37"/>
      <c r="O41" s="37"/>
      <c r="P41" t="s">
        <v>2</v>
      </c>
      <c r="Q41" s="35" t="s">
        <v>353</v>
      </c>
    </row>
    <row r="42" spans="1:19" x14ac:dyDescent="0.2">
      <c r="A42" s="35">
        <v>41</v>
      </c>
      <c r="B42" s="35" t="s">
        <v>405</v>
      </c>
      <c r="C42" s="35" t="s">
        <v>423</v>
      </c>
      <c r="D42" s="35" t="b">
        <v>0</v>
      </c>
      <c r="E42" s="35"/>
      <c r="F42" s="35"/>
      <c r="G42" s="35" t="b">
        <v>1</v>
      </c>
      <c r="H42" s="35">
        <v>9.1999999999999993</v>
      </c>
      <c r="M42" s="35" t="b">
        <v>1</v>
      </c>
      <c r="N42" s="37"/>
      <c r="O42" s="37"/>
      <c r="P42" t="s">
        <v>2</v>
      </c>
      <c r="Q42" s="52" t="s">
        <v>354</v>
      </c>
    </row>
    <row r="43" spans="1:19" x14ac:dyDescent="0.2">
      <c r="A43" s="35">
        <v>42</v>
      </c>
      <c r="B43" s="35" t="s">
        <v>406</v>
      </c>
      <c r="C43" s="35" t="s">
        <v>378</v>
      </c>
      <c r="D43" s="35" t="b">
        <v>0</v>
      </c>
      <c r="E43" s="35"/>
      <c r="F43" s="35"/>
      <c r="G43" s="35" t="b">
        <v>1</v>
      </c>
      <c r="H43" s="35">
        <v>9.1999999999999993</v>
      </c>
      <c r="M43" s="35" t="b">
        <v>1</v>
      </c>
      <c r="N43" s="37"/>
      <c r="O43" s="37"/>
      <c r="P43" t="s">
        <v>2</v>
      </c>
      <c r="Q43" s="35" t="s">
        <v>380</v>
      </c>
    </row>
    <row r="44" spans="1:19" x14ac:dyDescent="0.2">
      <c r="A44" s="35">
        <v>43</v>
      </c>
      <c r="B44" s="35" t="s">
        <v>407</v>
      </c>
      <c r="C44" s="35" t="s">
        <v>379</v>
      </c>
      <c r="D44" s="35" t="b">
        <v>0</v>
      </c>
      <c r="E44" s="35"/>
      <c r="F44" s="35"/>
      <c r="G44" s="35" t="b">
        <v>1</v>
      </c>
      <c r="H44" s="35">
        <v>9.1999999999999993</v>
      </c>
      <c r="M44" s="35" t="b">
        <v>1</v>
      </c>
      <c r="N44" s="37"/>
      <c r="O44" s="37"/>
      <c r="P44" t="s">
        <v>373</v>
      </c>
      <c r="Q44" s="35" t="s">
        <v>355</v>
      </c>
    </row>
    <row r="45" spans="1:19" x14ac:dyDescent="0.2">
      <c r="A45" s="35">
        <v>44</v>
      </c>
      <c r="B45" s="35" t="s">
        <v>408</v>
      </c>
      <c r="C45" s="35" t="s">
        <v>350</v>
      </c>
      <c r="D45" s="35" t="b">
        <v>0</v>
      </c>
      <c r="E45" s="35"/>
      <c r="F45" s="35" t="s">
        <v>412</v>
      </c>
      <c r="G45" s="35" t="b">
        <v>1</v>
      </c>
      <c r="H45" s="35">
        <v>9.1999999999999993</v>
      </c>
      <c r="M45" s="35" t="b">
        <v>1</v>
      </c>
      <c r="N45" s="37"/>
      <c r="O45" s="37"/>
      <c r="P45" t="s">
        <v>373</v>
      </c>
      <c r="Q45" s="52" t="s">
        <v>354</v>
      </c>
      <c r="R45" t="s">
        <v>309</v>
      </c>
    </row>
    <row r="46" spans="1:19" x14ac:dyDescent="0.2">
      <c r="A46" s="35">
        <v>45</v>
      </c>
      <c r="B46" s="35">
        <v>9.3000000000000007</v>
      </c>
      <c r="C46" t="s">
        <v>235</v>
      </c>
      <c r="D46" s="35" t="b">
        <v>1</v>
      </c>
      <c r="E46" s="35"/>
      <c r="F46" s="35"/>
      <c r="G46" s="35"/>
      <c r="M46" s="35"/>
      <c r="N46" s="35"/>
      <c r="O46" s="35"/>
      <c r="Q46" s="35" t="s">
        <v>219</v>
      </c>
      <c r="S46" s="35"/>
    </row>
    <row r="47" spans="1:19" x14ac:dyDescent="0.2">
      <c r="A47" s="35">
        <v>46</v>
      </c>
      <c r="B47" s="35" t="s">
        <v>411</v>
      </c>
      <c r="C47" t="s">
        <v>236</v>
      </c>
      <c r="D47" s="54" t="b">
        <v>0</v>
      </c>
      <c r="E47" s="35" t="b">
        <v>1</v>
      </c>
      <c r="F47" t="s">
        <v>413</v>
      </c>
      <c r="G47" t="b">
        <v>1</v>
      </c>
      <c r="H47" s="35">
        <v>9.3000000000000007</v>
      </c>
      <c r="M47" t="b">
        <v>1</v>
      </c>
      <c r="P47" t="s">
        <v>373</v>
      </c>
      <c r="R47" t="s">
        <v>309</v>
      </c>
    </row>
    <row r="48" spans="1:19" x14ac:dyDescent="0.2">
      <c r="B48" s="35"/>
    </row>
  </sheetData>
  <conditionalFormatting sqref="D1 G3:G5 D16:E17 D15:F15 F1:G1 D18:F28 D36:D37 D47:G1048576 F36:F37 G7:G10 D2:E14 G12:G17">
    <cfRule type="cellIs" dxfId="103" priority="39" operator="equal">
      <formula>TRUE</formula>
    </cfRule>
  </conditionalFormatting>
  <conditionalFormatting sqref="D36:D37 D32:F34 D38:F44 D45:E45 F36:G37">
    <cfRule type="cellIs" dxfId="102" priority="38" operator="equal">
      <formula>TRUE</formula>
    </cfRule>
  </conditionalFormatting>
  <conditionalFormatting sqref="D46:F46">
    <cfRule type="cellIs" dxfId="101" priority="37" operator="equal">
      <formula>TRUE</formula>
    </cfRule>
  </conditionalFormatting>
  <conditionalFormatting sqref="G28">
    <cfRule type="cellIs" dxfId="100" priority="36" operator="equal">
      <formula>TRUE</formula>
    </cfRule>
  </conditionalFormatting>
  <conditionalFormatting sqref="G36">
    <cfRule type="cellIs" dxfId="99" priority="35" operator="equal">
      <formula>TRUE</formula>
    </cfRule>
  </conditionalFormatting>
  <conditionalFormatting sqref="G37">
    <cfRule type="cellIs" dxfId="98" priority="34" operator="equal">
      <formula>TRUE</formula>
    </cfRule>
  </conditionalFormatting>
  <conditionalFormatting sqref="G18:G31">
    <cfRule type="cellIs" dxfId="97" priority="33" operator="equal">
      <formula>TRUE</formula>
    </cfRule>
  </conditionalFormatting>
  <conditionalFormatting sqref="G15">
    <cfRule type="cellIs" dxfId="96" priority="32" operator="equal">
      <formula>TRUE</formula>
    </cfRule>
  </conditionalFormatting>
  <conditionalFormatting sqref="G32:G34">
    <cfRule type="cellIs" dxfId="95" priority="31" operator="equal">
      <formula>TRUE</formula>
    </cfRule>
  </conditionalFormatting>
  <conditionalFormatting sqref="G39">
    <cfRule type="cellIs" dxfId="94" priority="30" operator="equal">
      <formula>TRUE</formula>
    </cfRule>
  </conditionalFormatting>
  <conditionalFormatting sqref="G40:G44">
    <cfRule type="cellIs" dxfId="93" priority="29" operator="equal">
      <formula>TRUE</formula>
    </cfRule>
  </conditionalFormatting>
  <conditionalFormatting sqref="G45">
    <cfRule type="cellIs" dxfId="92" priority="28" operator="equal">
      <formula>TRUE</formula>
    </cfRule>
  </conditionalFormatting>
  <conditionalFormatting sqref="D35:G35">
    <cfRule type="cellIs" dxfId="91" priority="27" operator="equal">
      <formula>TRUE</formula>
    </cfRule>
  </conditionalFormatting>
  <conditionalFormatting sqref="G46">
    <cfRule type="cellIs" dxfId="90" priority="26" operator="equal">
      <formula>TRUE</formula>
    </cfRule>
  </conditionalFormatting>
  <conditionalFormatting sqref="G2">
    <cfRule type="cellIs" dxfId="89" priority="25" operator="equal">
      <formula>TRUE</formula>
    </cfRule>
  </conditionalFormatting>
  <conditionalFormatting sqref="O2">
    <cfRule type="cellIs" dxfId="88" priority="24" operator="equal">
      <formula>TRUE</formula>
    </cfRule>
  </conditionalFormatting>
  <conditionalFormatting sqref="O6">
    <cfRule type="cellIs" dxfId="87" priority="23" operator="equal">
      <formula>TRUE</formula>
    </cfRule>
  </conditionalFormatting>
  <conditionalFormatting sqref="G6">
    <cfRule type="cellIs" dxfId="86" priority="22" operator="equal">
      <formula>TRUE</formula>
    </cfRule>
  </conditionalFormatting>
  <conditionalFormatting sqref="G38">
    <cfRule type="cellIs" dxfId="85" priority="21" operator="equal">
      <formula>TRUE</formula>
    </cfRule>
  </conditionalFormatting>
  <conditionalFormatting sqref="O38">
    <cfRule type="cellIs" dxfId="84" priority="20" operator="equal">
      <formula>TRUE</formula>
    </cfRule>
  </conditionalFormatting>
  <conditionalFormatting sqref="O32">
    <cfRule type="cellIs" dxfId="83" priority="19" operator="equal">
      <formula>TRUE</formula>
    </cfRule>
  </conditionalFormatting>
  <conditionalFormatting sqref="O15">
    <cfRule type="cellIs" dxfId="82" priority="18" operator="equal">
      <formula>TRUE</formula>
    </cfRule>
  </conditionalFormatting>
  <conditionalFormatting sqref="O15">
    <cfRule type="cellIs" dxfId="81" priority="17" operator="equal">
      <formula>TRUE</formula>
    </cfRule>
  </conditionalFormatting>
  <conditionalFormatting sqref="E1">
    <cfRule type="cellIs" dxfId="80" priority="16" operator="equal">
      <formula>TRUE</formula>
    </cfRule>
  </conditionalFormatting>
  <conditionalFormatting sqref="E36:E37">
    <cfRule type="cellIs" dxfId="79" priority="15" operator="equal">
      <formula>TRUE</formula>
    </cfRule>
  </conditionalFormatting>
  <conditionalFormatting sqref="E36">
    <cfRule type="cellIs" dxfId="78" priority="14" operator="equal">
      <formula>TRUE</formula>
    </cfRule>
  </conditionalFormatting>
  <conditionalFormatting sqref="O11">
    <cfRule type="cellIs" dxfId="3" priority="4" operator="equal">
      <formula>TRUE</formula>
    </cfRule>
  </conditionalFormatting>
  <conditionalFormatting sqref="G11">
    <cfRule type="cellIs" dxfId="2" priority="3" operator="equal">
      <formula>TRUE</formula>
    </cfRule>
  </conditionalFormatting>
  <conditionalFormatting sqref="D29:F31">
    <cfRule type="cellIs" dxfId="1" priority="2" operator="equal">
      <formula>TRUE</formula>
    </cfRule>
  </conditionalFormatting>
  <conditionalFormatting sqref="G31">
    <cfRule type="cellIs" dxfId="0" priority="1" operator="equal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A7134-A7A2-1045-AD35-4F67E12941AA}">
  <dimension ref="A1:R1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" sqref="A2:A14"/>
    </sheetView>
  </sheetViews>
  <sheetFormatPr baseColWidth="10" defaultRowHeight="16" x14ac:dyDescent="0.2"/>
  <cols>
    <col min="1" max="1" width="5.5" bestFit="1" customWidth="1"/>
    <col min="2" max="2" width="10.5" bestFit="1" customWidth="1"/>
    <col min="3" max="3" width="30" bestFit="1" customWidth="1"/>
    <col min="4" max="4" width="15.1640625" bestFit="1" customWidth="1"/>
    <col min="5" max="5" width="15.1640625" customWidth="1"/>
    <col min="6" max="6" width="26.33203125" bestFit="1" customWidth="1"/>
    <col min="7" max="8" width="15.1640625" customWidth="1"/>
    <col min="9" max="9" width="11" bestFit="1" customWidth="1"/>
    <col min="10" max="10" width="11.83203125" bestFit="1" customWidth="1"/>
    <col min="11" max="11" width="7.83203125" bestFit="1" customWidth="1"/>
    <col min="12" max="12" width="15.1640625" customWidth="1"/>
    <col min="13" max="13" width="6.1640625" bestFit="1" customWidth="1"/>
    <col min="14" max="14" width="6.1640625" customWidth="1"/>
    <col min="15" max="16" width="14.33203125" bestFit="1" customWidth="1"/>
    <col min="17" max="17" width="7.5" bestFit="1" customWidth="1"/>
    <col min="18" max="18" width="19.33203125" bestFit="1" customWidth="1"/>
  </cols>
  <sheetData>
    <row r="1" spans="1:18" ht="24" x14ac:dyDescent="0.4">
      <c r="A1" s="57" t="s">
        <v>162</v>
      </c>
      <c r="B1" s="4" t="s">
        <v>163</v>
      </c>
      <c r="C1" s="5" t="s">
        <v>0</v>
      </c>
      <c r="D1" s="33" t="s">
        <v>188</v>
      </c>
      <c r="E1" s="33" t="s">
        <v>421</v>
      </c>
      <c r="F1" s="33" t="s">
        <v>367</v>
      </c>
      <c r="G1" s="36" t="s">
        <v>370</v>
      </c>
      <c r="H1" s="33" t="s">
        <v>225</v>
      </c>
      <c r="I1" s="33" t="s">
        <v>242</v>
      </c>
      <c r="J1" s="33" t="s">
        <v>272</v>
      </c>
      <c r="K1" s="33" t="s">
        <v>240</v>
      </c>
      <c r="L1" s="33" t="s">
        <v>189</v>
      </c>
      <c r="M1" s="57" t="s">
        <v>1</v>
      </c>
      <c r="N1" s="67" t="s">
        <v>398</v>
      </c>
      <c r="O1" s="57" t="s">
        <v>209</v>
      </c>
      <c r="P1" s="57" t="s">
        <v>212</v>
      </c>
      <c r="Q1" s="57" t="s">
        <v>165</v>
      </c>
      <c r="R1" s="57" t="s">
        <v>164</v>
      </c>
    </row>
    <row r="2" spans="1:18" ht="24" x14ac:dyDescent="0.4">
      <c r="A2" s="57">
        <v>1</v>
      </c>
      <c r="B2" s="30">
        <v>4.0999999999999996</v>
      </c>
      <c r="C2" s="58" t="s">
        <v>96</v>
      </c>
      <c r="D2" s="23" t="b">
        <f>TRUE</f>
        <v>1</v>
      </c>
      <c r="E2" s="23"/>
      <c r="F2" s="59"/>
      <c r="G2" s="23" t="b">
        <v>1</v>
      </c>
      <c r="H2" s="30"/>
      <c r="I2" s="30"/>
      <c r="J2" s="30"/>
      <c r="K2" s="30"/>
      <c r="L2" s="30"/>
      <c r="M2" s="30"/>
      <c r="N2" s="23" t="b">
        <v>1</v>
      </c>
      <c r="O2" s="30"/>
      <c r="P2" s="30" t="s">
        <v>359</v>
      </c>
      <c r="Q2" s="30"/>
      <c r="R2" s="30"/>
    </row>
    <row r="3" spans="1:18" ht="24" x14ac:dyDescent="0.4">
      <c r="A3" s="57">
        <v>2</v>
      </c>
      <c r="B3" s="26" t="s">
        <v>282</v>
      </c>
      <c r="C3" s="8" t="s">
        <v>57</v>
      </c>
      <c r="D3" s="8" t="b">
        <v>0</v>
      </c>
      <c r="E3" s="8"/>
      <c r="F3" s="7" t="str">
        <f>CONCATENATE("ค่าตอบแทน",C3)</f>
        <v>ค่าตอบแทนประธาน</v>
      </c>
      <c r="G3" s="23" t="b">
        <v>1</v>
      </c>
      <c r="H3" s="26">
        <v>4.0999999999999996</v>
      </c>
      <c r="I3" s="26"/>
      <c r="J3" s="26"/>
      <c r="K3" s="26"/>
      <c r="L3" s="7" t="b">
        <v>0</v>
      </c>
      <c r="M3" s="7">
        <v>1000</v>
      </c>
      <c r="N3" s="7"/>
      <c r="O3" s="8" t="s">
        <v>226</v>
      </c>
      <c r="P3" s="8" t="s">
        <v>359</v>
      </c>
      <c r="Q3" s="8"/>
      <c r="R3" s="7" t="s">
        <v>330</v>
      </c>
    </row>
    <row r="4" spans="1:18" ht="24" x14ac:dyDescent="0.4">
      <c r="A4" s="57">
        <v>3</v>
      </c>
      <c r="B4" s="26" t="s">
        <v>283</v>
      </c>
      <c r="C4" s="8" t="s">
        <v>256</v>
      </c>
      <c r="D4" s="8" t="b">
        <v>0</v>
      </c>
      <c r="E4" s="8"/>
      <c r="F4" s="7" t="str">
        <f>CONCATENATE("ค่าตอบแทน",C4)</f>
        <v>ค่าตอบแทนกรรมการ</v>
      </c>
      <c r="G4" s="23" t="b">
        <v>1</v>
      </c>
      <c r="H4" s="26">
        <v>4.0999999999999996</v>
      </c>
      <c r="I4" s="26"/>
      <c r="J4" s="26"/>
      <c r="K4" s="26"/>
      <c r="L4" s="7" t="b">
        <v>1</v>
      </c>
      <c r="M4" s="7">
        <v>1000</v>
      </c>
      <c r="N4" s="7"/>
      <c r="O4" s="8" t="s">
        <v>226</v>
      </c>
      <c r="P4" s="8" t="s">
        <v>359</v>
      </c>
      <c r="Q4" s="8"/>
      <c r="R4" s="7" t="s">
        <v>330</v>
      </c>
    </row>
    <row r="5" spans="1:18" ht="24" x14ac:dyDescent="0.4">
      <c r="A5" s="57">
        <v>4</v>
      </c>
      <c r="B5" s="26" t="s">
        <v>284</v>
      </c>
      <c r="C5" s="8" t="s">
        <v>397</v>
      </c>
      <c r="D5" s="8" t="b">
        <v>0</v>
      </c>
      <c r="E5" s="8"/>
      <c r="F5" s="7" t="str">
        <f>CONCATENATE("ค่าตอบแทน",C5)</f>
        <v>ค่าตอบแทนเลขานุการ</v>
      </c>
      <c r="G5" s="23" t="b">
        <v>1</v>
      </c>
      <c r="H5" s="26">
        <v>4.0999999999999996</v>
      </c>
      <c r="I5" s="8"/>
      <c r="J5" s="27"/>
      <c r="K5" s="27"/>
      <c r="L5" s="7" t="b">
        <v>1</v>
      </c>
      <c r="M5" s="7">
        <v>1000</v>
      </c>
      <c r="N5" s="7"/>
      <c r="O5" s="8" t="s">
        <v>226</v>
      </c>
      <c r="P5" s="8" t="s">
        <v>359</v>
      </c>
      <c r="Q5" s="8"/>
      <c r="R5" s="7" t="s">
        <v>330</v>
      </c>
    </row>
    <row r="6" spans="1:18" ht="24" x14ac:dyDescent="0.4">
      <c r="A6" s="57">
        <v>5</v>
      </c>
      <c r="B6" s="60">
        <v>7.4</v>
      </c>
      <c r="C6" s="23" t="s">
        <v>248</v>
      </c>
      <c r="D6" s="23" t="b">
        <v>1</v>
      </c>
      <c r="E6" s="23"/>
      <c r="F6" s="8" t="s">
        <v>43</v>
      </c>
      <c r="G6" s="8" t="b">
        <v>1</v>
      </c>
      <c r="H6" s="23"/>
      <c r="I6" s="23" t="b">
        <v>1</v>
      </c>
      <c r="J6" s="23"/>
      <c r="K6" s="23"/>
      <c r="L6" s="23"/>
      <c r="M6" s="23"/>
      <c r="N6" s="23" t="b">
        <v>1</v>
      </c>
      <c r="O6" s="23"/>
      <c r="P6" s="23" t="s">
        <v>360</v>
      </c>
      <c r="Q6" s="23"/>
      <c r="R6" s="12"/>
    </row>
    <row r="7" spans="1:18" ht="24" x14ac:dyDescent="0.4">
      <c r="A7" s="57">
        <v>6</v>
      </c>
      <c r="B7" s="27" t="s">
        <v>320</v>
      </c>
      <c r="C7" s="8" t="s">
        <v>249</v>
      </c>
      <c r="D7" s="8" t="b">
        <v>1</v>
      </c>
      <c r="E7" s="8"/>
      <c r="F7" s="8"/>
      <c r="G7" s="8"/>
      <c r="H7" s="27">
        <v>7.4</v>
      </c>
      <c r="I7" s="8"/>
      <c r="J7" s="8"/>
      <c r="K7" s="7" t="b">
        <v>1</v>
      </c>
      <c r="L7" s="8"/>
      <c r="M7" s="7"/>
      <c r="N7" s="7"/>
      <c r="O7" s="8"/>
      <c r="P7" s="8" t="s">
        <v>351</v>
      </c>
      <c r="Q7" s="8"/>
      <c r="R7" s="24"/>
    </row>
    <row r="8" spans="1:18" ht="24" x14ac:dyDescent="0.4">
      <c r="A8" s="57">
        <v>7</v>
      </c>
      <c r="B8" s="27" t="s">
        <v>322</v>
      </c>
      <c r="C8" s="8" t="s">
        <v>43</v>
      </c>
      <c r="D8" s="8" t="b">
        <v>0</v>
      </c>
      <c r="E8" s="8"/>
      <c r="F8" s="8" t="s">
        <v>37</v>
      </c>
      <c r="G8" s="8" t="b">
        <v>1</v>
      </c>
      <c r="H8" s="27" t="s">
        <v>320</v>
      </c>
      <c r="I8" s="8"/>
      <c r="J8" s="27">
        <v>7.4</v>
      </c>
      <c r="K8" s="27"/>
      <c r="L8" s="8"/>
      <c r="M8" s="7">
        <v>35</v>
      </c>
      <c r="N8" s="7"/>
      <c r="O8" s="8" t="s">
        <v>274</v>
      </c>
      <c r="P8" s="8" t="s">
        <v>214</v>
      </c>
      <c r="Q8" s="8"/>
      <c r="R8" s="24" t="s">
        <v>250</v>
      </c>
    </row>
    <row r="9" spans="1:18" ht="24" x14ac:dyDescent="0.4">
      <c r="A9" s="57">
        <v>8</v>
      </c>
      <c r="B9" s="27" t="s">
        <v>321</v>
      </c>
      <c r="C9" s="8" t="s">
        <v>251</v>
      </c>
      <c r="D9" s="8" t="b">
        <v>1</v>
      </c>
      <c r="E9" s="8"/>
      <c r="F9" s="8"/>
      <c r="G9" s="8"/>
      <c r="H9" s="27">
        <v>7.4</v>
      </c>
      <c r="I9" s="8"/>
      <c r="J9" s="8"/>
      <c r="K9" s="7" t="b">
        <v>1</v>
      </c>
      <c r="L9" s="8"/>
      <c r="M9" s="7"/>
      <c r="N9" s="7"/>
      <c r="O9" s="8"/>
      <c r="P9" s="8" t="s">
        <v>214</v>
      </c>
      <c r="Q9" s="8"/>
      <c r="R9" s="24"/>
    </row>
    <row r="10" spans="1:18" ht="24" x14ac:dyDescent="0.4">
      <c r="A10" s="57">
        <v>9</v>
      </c>
      <c r="B10" s="27" t="s">
        <v>323</v>
      </c>
      <c r="C10" s="8" t="s">
        <v>43</v>
      </c>
      <c r="D10" s="8" t="b">
        <v>0</v>
      </c>
      <c r="E10" s="8"/>
      <c r="F10" s="8" t="s">
        <v>37</v>
      </c>
      <c r="G10" s="8" t="b">
        <v>1</v>
      </c>
      <c r="H10" s="27" t="s">
        <v>321</v>
      </c>
      <c r="I10" s="8"/>
      <c r="J10" s="27">
        <v>7.4</v>
      </c>
      <c r="K10" s="27"/>
      <c r="L10" s="8"/>
      <c r="M10" s="7">
        <v>50</v>
      </c>
      <c r="N10" s="7"/>
      <c r="O10" s="8" t="s">
        <v>274</v>
      </c>
      <c r="P10" s="8" t="s">
        <v>214</v>
      </c>
      <c r="Q10" s="8"/>
      <c r="R10" s="24" t="s">
        <v>252</v>
      </c>
    </row>
    <row r="11" spans="1:18" ht="24" x14ac:dyDescent="0.4">
      <c r="A11" s="57">
        <v>10</v>
      </c>
      <c r="B11" s="27" t="s">
        <v>363</v>
      </c>
      <c r="C11" s="8" t="s">
        <v>253</v>
      </c>
      <c r="D11" s="8" t="b">
        <v>1</v>
      </c>
      <c r="E11" s="8"/>
      <c r="F11" s="8"/>
      <c r="G11" s="8" t="b">
        <v>1</v>
      </c>
      <c r="H11" s="27"/>
      <c r="I11" s="8"/>
      <c r="J11" s="27"/>
      <c r="K11" s="27"/>
      <c r="L11" s="8"/>
      <c r="M11" s="7"/>
      <c r="N11" s="8" t="b">
        <v>1</v>
      </c>
      <c r="O11" s="8"/>
      <c r="P11" s="8"/>
      <c r="Q11" s="8"/>
      <c r="R11" s="24"/>
    </row>
    <row r="12" spans="1:18" ht="24" x14ac:dyDescent="0.4">
      <c r="A12" s="57">
        <v>11</v>
      </c>
      <c r="B12" s="27" t="s">
        <v>426</v>
      </c>
      <c r="C12" s="8" t="s">
        <v>253</v>
      </c>
      <c r="D12" s="8" t="b">
        <v>0</v>
      </c>
      <c r="E12" s="8"/>
      <c r="F12" s="8"/>
      <c r="G12" s="8" t="b">
        <v>1</v>
      </c>
      <c r="H12" s="27" t="s">
        <v>363</v>
      </c>
      <c r="I12" s="8"/>
      <c r="J12" s="27"/>
      <c r="K12" s="27"/>
      <c r="L12" s="8"/>
      <c r="M12" s="7">
        <v>120</v>
      </c>
      <c r="N12" s="7"/>
      <c r="O12" s="8" t="s">
        <v>274</v>
      </c>
      <c r="P12" s="8" t="s">
        <v>213</v>
      </c>
      <c r="Q12" s="8"/>
      <c r="R12" s="24" t="s">
        <v>273</v>
      </c>
    </row>
    <row r="13" spans="1:18" ht="24" x14ac:dyDescent="0.4">
      <c r="A13" s="57">
        <v>12</v>
      </c>
      <c r="B13" s="60">
        <v>7.5</v>
      </c>
      <c r="C13" s="23" t="s">
        <v>235</v>
      </c>
      <c r="D13" s="23" t="b">
        <v>1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 t="s">
        <v>361</v>
      </c>
      <c r="Q13" s="23"/>
      <c r="R13" s="12"/>
    </row>
    <row r="14" spans="1:18" ht="24" x14ac:dyDescent="0.4">
      <c r="A14" s="57">
        <v>13</v>
      </c>
      <c r="B14" s="27" t="s">
        <v>362</v>
      </c>
      <c r="C14" s="8" t="s">
        <v>278</v>
      </c>
      <c r="D14" s="8" t="b">
        <v>0</v>
      </c>
      <c r="E14" s="8" t="b">
        <v>1</v>
      </c>
      <c r="F14" s="8"/>
      <c r="G14" s="23" t="b">
        <v>1</v>
      </c>
      <c r="H14" s="27">
        <v>7.5</v>
      </c>
      <c r="I14" s="8"/>
      <c r="J14" s="8"/>
      <c r="K14" s="27"/>
      <c r="L14" s="8" t="b">
        <v>1</v>
      </c>
      <c r="M14" s="7"/>
      <c r="N14" s="7"/>
      <c r="O14" s="8" t="s">
        <v>373</v>
      </c>
      <c r="P14" s="8"/>
      <c r="Q14" s="8" t="s">
        <v>309</v>
      </c>
      <c r="R14" s="24"/>
    </row>
  </sheetData>
  <conditionalFormatting sqref="G1">
    <cfRule type="cellIs" dxfId="69" priority="21" operator="equal">
      <formula>TRUE</formula>
    </cfRule>
  </conditionalFormatting>
  <conditionalFormatting sqref="D2:E2">
    <cfRule type="cellIs" dxfId="68" priority="19" operator="equal">
      <formula>TRUE</formula>
    </cfRule>
  </conditionalFormatting>
  <conditionalFormatting sqref="D14">
    <cfRule type="cellIs" dxfId="67" priority="18" operator="equal">
      <formula>TRUE</formula>
    </cfRule>
  </conditionalFormatting>
  <conditionalFormatting sqref="D13:E13">
    <cfRule type="cellIs" dxfId="66" priority="16" operator="equal">
      <formula>TRUE</formula>
    </cfRule>
  </conditionalFormatting>
  <conditionalFormatting sqref="G2:G3">
    <cfRule type="cellIs" dxfId="65" priority="15" operator="equal">
      <formula>TRUE</formula>
    </cfRule>
  </conditionalFormatting>
  <conditionalFormatting sqref="G4">
    <cfRule type="cellIs" dxfId="64" priority="14" operator="equal">
      <formula>TRUE</formula>
    </cfRule>
  </conditionalFormatting>
  <conditionalFormatting sqref="G5">
    <cfRule type="cellIs" dxfId="63" priority="13" operator="equal">
      <formula>TRUE</formula>
    </cfRule>
  </conditionalFormatting>
  <conditionalFormatting sqref="G14">
    <cfRule type="cellIs" dxfId="62" priority="9" operator="equal">
      <formula>TRUE</formula>
    </cfRule>
  </conditionalFormatting>
  <conditionalFormatting sqref="E1">
    <cfRule type="cellIs" dxfId="61" priority="7" operator="equal">
      <formula>TRUE</formula>
    </cfRule>
  </conditionalFormatting>
  <conditionalFormatting sqref="E14">
    <cfRule type="cellIs" dxfId="60" priority="6" operator="equal">
      <formula>TRUE</formula>
    </cfRule>
  </conditionalFormatting>
  <conditionalFormatting sqref="D8:G8 D10:G10 D6:E7 D9:E9 G9 G6:G7">
    <cfRule type="cellIs" dxfId="59" priority="5" operator="equal">
      <formula>TRUE</formula>
    </cfRule>
  </conditionalFormatting>
  <conditionalFormatting sqref="N2">
    <cfRule type="cellIs" dxfId="58" priority="4" operator="equal">
      <formula>TRUE</formula>
    </cfRule>
  </conditionalFormatting>
  <conditionalFormatting sqref="N6">
    <cfRule type="cellIs" dxfId="57" priority="3" operator="equal">
      <formula>TRUE</formula>
    </cfRule>
  </conditionalFormatting>
  <conditionalFormatting sqref="D11:G12">
    <cfRule type="cellIs" dxfId="56" priority="2" operator="equal">
      <formula>TRUE</formula>
    </cfRule>
  </conditionalFormatting>
  <conditionalFormatting sqref="N11">
    <cfRule type="cellIs" dxfId="55" priority="1" operator="equal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98499-6246-FF49-8B3C-6B4CCC981DF3}">
  <dimension ref="A1:R1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" sqref="A2:A14"/>
    </sheetView>
  </sheetViews>
  <sheetFormatPr baseColWidth="10" defaultRowHeight="16" x14ac:dyDescent="0.2"/>
  <cols>
    <col min="1" max="1" width="5.5" bestFit="1" customWidth="1"/>
    <col min="2" max="2" width="10.5" bestFit="1" customWidth="1"/>
    <col min="3" max="3" width="30" bestFit="1" customWidth="1"/>
    <col min="4" max="4" width="15.1640625" bestFit="1" customWidth="1"/>
    <col min="5" max="5" width="15.1640625" customWidth="1"/>
    <col min="6" max="6" width="28" bestFit="1" customWidth="1"/>
    <col min="7" max="7" width="23" bestFit="1" customWidth="1"/>
    <col min="8" max="8" width="15.1640625" customWidth="1"/>
    <col min="9" max="9" width="11" bestFit="1" customWidth="1"/>
    <col min="10" max="10" width="11.83203125" bestFit="1" customWidth="1"/>
    <col min="11" max="11" width="7.83203125" bestFit="1" customWidth="1"/>
    <col min="12" max="12" width="15.1640625" customWidth="1"/>
    <col min="13" max="13" width="6.1640625" bestFit="1" customWidth="1"/>
    <col min="14" max="14" width="6.1640625" customWidth="1"/>
    <col min="15" max="15" width="14.6640625" customWidth="1"/>
    <col min="16" max="16" width="14.33203125" bestFit="1" customWidth="1"/>
    <col min="17" max="17" width="7.5" bestFit="1" customWidth="1"/>
    <col min="18" max="18" width="19.33203125" bestFit="1" customWidth="1"/>
  </cols>
  <sheetData>
    <row r="1" spans="1:18" ht="24" x14ac:dyDescent="0.4">
      <c r="A1" s="74" t="s">
        <v>162</v>
      </c>
      <c r="B1" s="4" t="s">
        <v>163</v>
      </c>
      <c r="C1" s="5" t="s">
        <v>0</v>
      </c>
      <c r="D1" s="33" t="s">
        <v>188</v>
      </c>
      <c r="E1" s="33" t="s">
        <v>421</v>
      </c>
      <c r="F1" s="33" t="s">
        <v>367</v>
      </c>
      <c r="G1" s="36" t="s">
        <v>370</v>
      </c>
      <c r="H1" s="33" t="s">
        <v>225</v>
      </c>
      <c r="I1" s="33" t="s">
        <v>242</v>
      </c>
      <c r="J1" s="33" t="s">
        <v>272</v>
      </c>
      <c r="K1" s="33" t="s">
        <v>240</v>
      </c>
      <c r="L1" s="33" t="s">
        <v>189</v>
      </c>
      <c r="M1" s="74" t="s">
        <v>1</v>
      </c>
      <c r="N1" s="67" t="s">
        <v>398</v>
      </c>
      <c r="O1" s="74" t="s">
        <v>209</v>
      </c>
      <c r="P1" s="74" t="s">
        <v>212</v>
      </c>
      <c r="Q1" s="74" t="s">
        <v>165</v>
      </c>
      <c r="R1" s="74" t="s">
        <v>164</v>
      </c>
    </row>
    <row r="2" spans="1:18" ht="27" x14ac:dyDescent="0.45">
      <c r="A2" s="74">
        <v>1</v>
      </c>
      <c r="B2" s="46">
        <v>5.0999999999999996</v>
      </c>
      <c r="C2" s="45" t="s">
        <v>73</v>
      </c>
      <c r="D2" s="23" t="b">
        <f>TRUE</f>
        <v>1</v>
      </c>
      <c r="E2" s="23"/>
      <c r="F2" s="44" t="s">
        <v>424</v>
      </c>
      <c r="G2" s="8" t="b">
        <v>1</v>
      </c>
      <c r="H2" s="31"/>
      <c r="I2" s="30"/>
      <c r="J2" s="30"/>
      <c r="K2" s="30"/>
      <c r="L2" s="31"/>
      <c r="M2" s="31"/>
      <c r="N2" s="23" t="b">
        <v>1</v>
      </c>
      <c r="O2" s="31"/>
      <c r="P2" s="31" t="s">
        <v>359</v>
      </c>
      <c r="Q2" s="31"/>
      <c r="R2" s="31"/>
    </row>
    <row r="3" spans="1:18" ht="24" x14ac:dyDescent="0.4">
      <c r="A3" s="74">
        <v>2</v>
      </c>
      <c r="B3" s="26" t="s">
        <v>285</v>
      </c>
      <c r="C3" s="8" t="s">
        <v>57</v>
      </c>
      <c r="D3" s="8" t="b">
        <v>0</v>
      </c>
      <c r="E3" s="8"/>
      <c r="F3" s="7" t="s">
        <v>368</v>
      </c>
      <c r="G3" s="23" t="b">
        <v>1</v>
      </c>
      <c r="H3" s="26">
        <v>5.0999999999999996</v>
      </c>
      <c r="I3" s="26"/>
      <c r="J3" s="26"/>
      <c r="K3" s="26"/>
      <c r="L3" s="7" t="b">
        <v>0</v>
      </c>
      <c r="M3" s="7">
        <v>1500</v>
      </c>
      <c r="N3" s="7"/>
      <c r="O3" s="8" t="s">
        <v>2</v>
      </c>
      <c r="P3" s="8" t="s">
        <v>359</v>
      </c>
      <c r="Q3" s="8"/>
      <c r="R3" s="24" t="s">
        <v>331</v>
      </c>
    </row>
    <row r="4" spans="1:18" ht="24" x14ac:dyDescent="0.4">
      <c r="A4" s="74">
        <v>3</v>
      </c>
      <c r="B4" s="26" t="s">
        <v>286</v>
      </c>
      <c r="C4" s="8" t="s">
        <v>256</v>
      </c>
      <c r="D4" s="8" t="b">
        <v>0</v>
      </c>
      <c r="E4" s="8"/>
      <c r="F4" s="7" t="s">
        <v>369</v>
      </c>
      <c r="G4" s="23" t="b">
        <v>1</v>
      </c>
      <c r="H4" s="26">
        <v>5.0999999999999996</v>
      </c>
      <c r="I4" s="26"/>
      <c r="J4" s="26"/>
      <c r="K4" s="26"/>
      <c r="L4" s="7" t="b">
        <v>1</v>
      </c>
      <c r="M4" s="7">
        <v>1200</v>
      </c>
      <c r="N4" s="7"/>
      <c r="O4" s="8" t="s">
        <v>2</v>
      </c>
      <c r="P4" s="8" t="s">
        <v>359</v>
      </c>
      <c r="Q4" s="8"/>
      <c r="R4" s="24" t="s">
        <v>332</v>
      </c>
    </row>
    <row r="5" spans="1:18" ht="24" x14ac:dyDescent="0.4">
      <c r="A5" s="74">
        <v>4</v>
      </c>
      <c r="B5" s="26" t="s">
        <v>287</v>
      </c>
      <c r="C5" s="8" t="s">
        <v>61</v>
      </c>
      <c r="D5" s="8" t="b">
        <v>0</v>
      </c>
      <c r="E5" s="8"/>
      <c r="F5" s="7" t="s">
        <v>371</v>
      </c>
      <c r="G5" s="23" t="b">
        <v>1</v>
      </c>
      <c r="H5" s="26">
        <v>5.0999999999999996</v>
      </c>
      <c r="I5" s="8"/>
      <c r="J5" s="27"/>
      <c r="K5" s="27"/>
      <c r="L5" s="7" t="b">
        <v>1</v>
      </c>
      <c r="M5" s="7">
        <v>1200</v>
      </c>
      <c r="N5" s="7"/>
      <c r="O5" s="8" t="s">
        <v>2</v>
      </c>
      <c r="P5" s="8" t="s">
        <v>359</v>
      </c>
      <c r="Q5" s="8"/>
      <c r="R5" s="24" t="s">
        <v>332</v>
      </c>
    </row>
    <row r="6" spans="1:18" ht="24" x14ac:dyDescent="0.4">
      <c r="A6" s="74">
        <v>5</v>
      </c>
      <c r="B6" s="60">
        <v>7.4</v>
      </c>
      <c r="C6" s="23" t="s">
        <v>248</v>
      </c>
      <c r="D6" s="23" t="b">
        <v>1</v>
      </c>
      <c r="E6" s="23"/>
      <c r="F6" s="8" t="s">
        <v>43</v>
      </c>
      <c r="G6" s="8" t="b">
        <v>1</v>
      </c>
      <c r="H6" s="23"/>
      <c r="I6" s="23" t="b">
        <v>1</v>
      </c>
      <c r="J6" s="23"/>
      <c r="K6" s="23"/>
      <c r="L6" s="23"/>
      <c r="M6" s="23"/>
      <c r="N6" s="23" t="b">
        <v>1</v>
      </c>
      <c r="O6" s="23"/>
      <c r="P6" s="23" t="s">
        <v>360</v>
      </c>
      <c r="Q6" s="23"/>
      <c r="R6" s="12"/>
    </row>
    <row r="7" spans="1:18" ht="24" x14ac:dyDescent="0.4">
      <c r="A7" s="74">
        <v>6</v>
      </c>
      <c r="B7" s="27" t="s">
        <v>320</v>
      </c>
      <c r="C7" s="8" t="s">
        <v>249</v>
      </c>
      <c r="D7" s="8" t="b">
        <v>1</v>
      </c>
      <c r="E7" s="8"/>
      <c r="F7" s="8"/>
      <c r="G7" s="8"/>
      <c r="H7" s="27">
        <v>7.4</v>
      </c>
      <c r="I7" s="8"/>
      <c r="J7" s="8"/>
      <c r="K7" s="7" t="b">
        <v>1</v>
      </c>
      <c r="L7" s="8"/>
      <c r="M7" s="7"/>
      <c r="N7" s="7"/>
      <c r="O7" s="8"/>
      <c r="P7" s="8" t="s">
        <v>351</v>
      </c>
      <c r="Q7" s="8"/>
      <c r="R7" s="24"/>
    </row>
    <row r="8" spans="1:18" ht="24" x14ac:dyDescent="0.4">
      <c r="A8" s="74">
        <v>7</v>
      </c>
      <c r="B8" s="27" t="s">
        <v>322</v>
      </c>
      <c r="C8" s="8" t="s">
        <v>43</v>
      </c>
      <c r="D8" s="8" t="b">
        <v>0</v>
      </c>
      <c r="E8" s="8"/>
      <c r="F8" s="8" t="s">
        <v>37</v>
      </c>
      <c r="G8" s="8" t="b">
        <v>1</v>
      </c>
      <c r="H8" s="27" t="s">
        <v>320</v>
      </c>
      <c r="I8" s="8"/>
      <c r="J8" s="27">
        <v>7.4</v>
      </c>
      <c r="K8" s="27"/>
      <c r="L8" s="8"/>
      <c r="M8" s="7">
        <v>35</v>
      </c>
      <c r="N8" s="7"/>
      <c r="O8" s="8" t="s">
        <v>274</v>
      </c>
      <c r="P8" s="8" t="s">
        <v>214</v>
      </c>
      <c r="Q8" s="8"/>
      <c r="R8" s="24" t="s">
        <v>250</v>
      </c>
    </row>
    <row r="9" spans="1:18" ht="24" x14ac:dyDescent="0.4">
      <c r="A9" s="74">
        <v>8</v>
      </c>
      <c r="B9" s="27" t="s">
        <v>321</v>
      </c>
      <c r="C9" s="8" t="s">
        <v>251</v>
      </c>
      <c r="D9" s="8" t="b">
        <v>1</v>
      </c>
      <c r="E9" s="8"/>
      <c r="F9" s="8"/>
      <c r="G9" s="8"/>
      <c r="H9" s="27">
        <v>7.4</v>
      </c>
      <c r="I9" s="8"/>
      <c r="J9" s="8"/>
      <c r="K9" s="7" t="b">
        <v>1</v>
      </c>
      <c r="L9" s="8"/>
      <c r="M9" s="7"/>
      <c r="N9" s="7"/>
      <c r="O9" s="8"/>
      <c r="P9" s="8" t="s">
        <v>214</v>
      </c>
      <c r="Q9" s="8"/>
      <c r="R9" s="24"/>
    </row>
    <row r="10" spans="1:18" ht="24" x14ac:dyDescent="0.4">
      <c r="A10" s="74">
        <v>9</v>
      </c>
      <c r="B10" s="27" t="s">
        <v>323</v>
      </c>
      <c r="C10" s="8" t="s">
        <v>43</v>
      </c>
      <c r="D10" s="8" t="b">
        <v>0</v>
      </c>
      <c r="E10" s="8"/>
      <c r="F10" s="8" t="s">
        <v>37</v>
      </c>
      <c r="G10" s="8" t="b">
        <v>1</v>
      </c>
      <c r="H10" s="27" t="s">
        <v>321</v>
      </c>
      <c r="I10" s="8"/>
      <c r="J10" s="27">
        <v>7.4</v>
      </c>
      <c r="K10" s="27"/>
      <c r="L10" s="8"/>
      <c r="M10" s="7">
        <v>50</v>
      </c>
      <c r="N10" s="7"/>
      <c r="O10" s="8" t="s">
        <v>274</v>
      </c>
      <c r="P10" s="8" t="s">
        <v>214</v>
      </c>
      <c r="Q10" s="8"/>
      <c r="R10" s="24" t="s">
        <v>252</v>
      </c>
    </row>
    <row r="11" spans="1:18" ht="24" x14ac:dyDescent="0.4">
      <c r="A11" s="74">
        <v>10</v>
      </c>
      <c r="B11" s="27" t="s">
        <v>363</v>
      </c>
      <c r="C11" s="8" t="s">
        <v>253</v>
      </c>
      <c r="D11" s="8" t="b">
        <v>1</v>
      </c>
      <c r="E11" s="8"/>
      <c r="F11" s="8"/>
      <c r="G11" s="8" t="b">
        <v>1</v>
      </c>
      <c r="H11" s="27"/>
      <c r="I11" s="8"/>
      <c r="J11" s="27"/>
      <c r="K11" s="27"/>
      <c r="L11" s="8"/>
      <c r="M11" s="7"/>
      <c r="N11" s="8" t="b">
        <v>1</v>
      </c>
      <c r="O11" s="8"/>
      <c r="P11" s="8"/>
      <c r="Q11" s="8"/>
      <c r="R11" s="24"/>
    </row>
    <row r="12" spans="1:18" ht="24" x14ac:dyDescent="0.4">
      <c r="A12" s="74">
        <v>11</v>
      </c>
      <c r="B12" s="27" t="s">
        <v>426</v>
      </c>
      <c r="C12" s="8" t="s">
        <v>253</v>
      </c>
      <c r="D12" s="8" t="b">
        <v>0</v>
      </c>
      <c r="E12" s="8"/>
      <c r="F12" s="8"/>
      <c r="G12" s="8" t="b">
        <v>1</v>
      </c>
      <c r="H12" s="27" t="s">
        <v>363</v>
      </c>
      <c r="I12" s="8"/>
      <c r="J12" s="27"/>
      <c r="K12" s="27"/>
      <c r="L12" s="8"/>
      <c r="M12" s="7">
        <v>120</v>
      </c>
      <c r="N12" s="7"/>
      <c r="O12" s="8" t="s">
        <v>274</v>
      </c>
      <c r="P12" s="8" t="s">
        <v>213</v>
      </c>
      <c r="Q12" s="8"/>
      <c r="R12" s="24" t="s">
        <v>273</v>
      </c>
    </row>
    <row r="13" spans="1:18" ht="24" x14ac:dyDescent="0.4">
      <c r="A13" s="74">
        <v>12</v>
      </c>
      <c r="B13" s="60">
        <v>7.5</v>
      </c>
      <c r="C13" s="23" t="s">
        <v>235</v>
      </c>
      <c r="D13" s="23" t="b">
        <v>1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 t="s">
        <v>361</v>
      </c>
      <c r="Q13" s="23"/>
      <c r="R13" s="12"/>
    </row>
    <row r="14" spans="1:18" ht="24" x14ac:dyDescent="0.4">
      <c r="A14" s="74">
        <v>13</v>
      </c>
      <c r="B14" s="27" t="s">
        <v>362</v>
      </c>
      <c r="C14" s="8" t="s">
        <v>278</v>
      </c>
      <c r="D14" s="8" t="b">
        <v>0</v>
      </c>
      <c r="E14" s="8" t="b">
        <v>1</v>
      </c>
      <c r="F14" s="8"/>
      <c r="G14" s="23" t="b">
        <v>1</v>
      </c>
      <c r="H14" s="27">
        <v>7.5</v>
      </c>
      <c r="I14" s="8"/>
      <c r="J14" s="8"/>
      <c r="K14" s="27"/>
      <c r="L14" s="8" t="b">
        <v>1</v>
      </c>
      <c r="M14" s="7"/>
      <c r="N14" s="7"/>
      <c r="O14" s="8" t="s">
        <v>373</v>
      </c>
      <c r="P14" s="8"/>
      <c r="Q14" s="8" t="s">
        <v>309</v>
      </c>
      <c r="R14" s="24"/>
    </row>
  </sheetData>
  <conditionalFormatting sqref="G1">
    <cfRule type="cellIs" dxfId="54" priority="32" operator="equal">
      <formula>TRUE</formula>
    </cfRule>
  </conditionalFormatting>
  <conditionalFormatting sqref="G3">
    <cfRule type="cellIs" dxfId="53" priority="31" operator="equal">
      <formula>TRUE</formula>
    </cfRule>
  </conditionalFormatting>
  <conditionalFormatting sqref="G13">
    <cfRule type="cellIs" dxfId="52" priority="26" operator="equal">
      <formula>TRUE</formula>
    </cfRule>
  </conditionalFormatting>
  <conditionalFormatting sqref="G14">
    <cfRule type="cellIs" dxfId="51" priority="25" operator="equal">
      <formula>TRUE</formula>
    </cfRule>
  </conditionalFormatting>
  <conditionalFormatting sqref="G4:G5">
    <cfRule type="cellIs" dxfId="50" priority="24" operator="equal">
      <formula>TRUE</formula>
    </cfRule>
  </conditionalFormatting>
  <conditionalFormatting sqref="D2:E2">
    <cfRule type="cellIs" dxfId="49" priority="14" operator="equal">
      <formula>TRUE</formula>
    </cfRule>
  </conditionalFormatting>
  <conditionalFormatting sqref="D13:E13">
    <cfRule type="cellIs" dxfId="48" priority="10" operator="equal">
      <formula>TRUE</formula>
    </cfRule>
  </conditionalFormatting>
  <conditionalFormatting sqref="E1">
    <cfRule type="cellIs" dxfId="47" priority="8" operator="equal">
      <formula>TRUE</formula>
    </cfRule>
  </conditionalFormatting>
  <conditionalFormatting sqref="E14">
    <cfRule type="cellIs" dxfId="46" priority="7" operator="equal">
      <formula>TRUE</formula>
    </cfRule>
  </conditionalFormatting>
  <conditionalFormatting sqref="D8:G8 D10:G10 D6:E7 D9:E9 G9 G6:G7">
    <cfRule type="cellIs" dxfId="45" priority="6" operator="equal">
      <formula>TRUE</formula>
    </cfRule>
  </conditionalFormatting>
  <conditionalFormatting sqref="G2">
    <cfRule type="cellIs" dxfId="44" priority="5" operator="equal">
      <formula>TRUE</formula>
    </cfRule>
  </conditionalFormatting>
  <conditionalFormatting sqref="N2">
    <cfRule type="cellIs" dxfId="43" priority="4" operator="equal">
      <formula>TRUE</formula>
    </cfRule>
  </conditionalFormatting>
  <conditionalFormatting sqref="N6">
    <cfRule type="cellIs" dxfId="42" priority="3" operator="equal">
      <formula>TRUE</formula>
    </cfRule>
  </conditionalFormatting>
  <conditionalFormatting sqref="D11:G12">
    <cfRule type="cellIs" dxfId="41" priority="2" operator="equal">
      <formula>TRUE</formula>
    </cfRule>
  </conditionalFormatting>
  <conditionalFormatting sqref="N11">
    <cfRule type="cellIs" dxfId="40" priority="1" operator="equal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E400D-AE14-4143-9970-FFD937A80BA3}">
  <dimension ref="A1:T42"/>
  <sheetViews>
    <sheetView workbookViewId="0">
      <pane xSplit="3" ySplit="1" topLeftCell="D18" activePane="bottomRight" state="frozen"/>
      <selection pane="topRight" activeCell="D1" sqref="D1"/>
      <selection pane="bottomLeft" activeCell="A2" sqref="A2"/>
      <selection pane="bottomRight" activeCell="A2" sqref="A2:A42"/>
    </sheetView>
  </sheetViews>
  <sheetFormatPr baseColWidth="10" defaultRowHeight="16" x14ac:dyDescent="0.2"/>
  <cols>
    <col min="1" max="1" width="5.5" bestFit="1" customWidth="1"/>
    <col min="2" max="2" width="10.5" bestFit="1" customWidth="1"/>
    <col min="3" max="3" width="30" bestFit="1" customWidth="1"/>
    <col min="4" max="4" width="15.1640625" bestFit="1" customWidth="1"/>
    <col min="5" max="5" width="15.1640625" customWidth="1"/>
    <col min="6" max="6" width="36.6640625" style="54" bestFit="1" customWidth="1"/>
    <col min="7" max="8" width="15.1640625" customWidth="1"/>
    <col min="9" max="9" width="11" bestFit="1" customWidth="1"/>
    <col min="10" max="10" width="11.83203125" bestFit="1" customWidth="1"/>
    <col min="11" max="11" width="7.83203125" bestFit="1" customWidth="1"/>
    <col min="12" max="12" width="15.1640625" customWidth="1"/>
    <col min="13" max="13" width="6.1640625" bestFit="1" customWidth="1"/>
    <col min="14" max="14" width="13.6640625" bestFit="1" customWidth="1"/>
    <col min="15" max="16" width="11.1640625" bestFit="1" customWidth="1"/>
    <col min="17" max="17" width="7.5" bestFit="1" customWidth="1"/>
    <col min="18" max="18" width="46.83203125" style="51" bestFit="1" customWidth="1"/>
  </cols>
  <sheetData>
    <row r="1" spans="1:20" ht="24" x14ac:dyDescent="0.4">
      <c r="A1" s="57" t="s">
        <v>162</v>
      </c>
      <c r="B1" s="4" t="s">
        <v>163</v>
      </c>
      <c r="C1" s="5" t="s">
        <v>0</v>
      </c>
      <c r="D1" s="33" t="s">
        <v>188</v>
      </c>
      <c r="E1" s="33" t="s">
        <v>421</v>
      </c>
      <c r="F1" s="33" t="s">
        <v>367</v>
      </c>
      <c r="G1" s="36" t="s">
        <v>370</v>
      </c>
      <c r="H1" s="33" t="s">
        <v>225</v>
      </c>
      <c r="I1" s="33" t="s">
        <v>242</v>
      </c>
      <c r="J1" s="33" t="s">
        <v>272</v>
      </c>
      <c r="K1" s="33" t="s">
        <v>240</v>
      </c>
      <c r="L1" s="33" t="s">
        <v>189</v>
      </c>
      <c r="M1" s="57" t="s">
        <v>1</v>
      </c>
      <c r="N1" s="67" t="s">
        <v>398</v>
      </c>
      <c r="O1" s="57" t="s">
        <v>209</v>
      </c>
      <c r="P1" s="57" t="s">
        <v>212</v>
      </c>
      <c r="Q1" s="57" t="s">
        <v>165</v>
      </c>
      <c r="R1" s="68" t="s">
        <v>164</v>
      </c>
    </row>
    <row r="2" spans="1:20" ht="24" x14ac:dyDescent="0.4">
      <c r="A2" s="57">
        <v>1</v>
      </c>
      <c r="B2" s="69">
        <v>6.1</v>
      </c>
      <c r="C2" s="10" t="s">
        <v>254</v>
      </c>
      <c r="D2" s="10" t="b">
        <f>TRUE</f>
        <v>1</v>
      </c>
      <c r="E2" s="10"/>
      <c r="F2" s="70"/>
      <c r="G2" s="10"/>
      <c r="H2" s="10"/>
      <c r="I2" s="10"/>
      <c r="J2" s="10"/>
      <c r="K2" s="10"/>
      <c r="L2" s="10"/>
      <c r="M2" s="10"/>
      <c r="N2" s="10"/>
      <c r="O2" s="10"/>
      <c r="P2" s="10" t="s">
        <v>359</v>
      </c>
      <c r="Q2" s="10"/>
      <c r="R2" s="71"/>
    </row>
    <row r="3" spans="1:20" ht="24" x14ac:dyDescent="0.4">
      <c r="A3" s="57">
        <v>2</v>
      </c>
      <c r="B3" s="60" t="s">
        <v>295</v>
      </c>
      <c r="C3" s="23" t="s">
        <v>55</v>
      </c>
      <c r="D3" s="23" t="b">
        <f>TRUE</f>
        <v>1</v>
      </c>
      <c r="E3" s="23"/>
      <c r="F3" s="65" t="s">
        <v>254</v>
      </c>
      <c r="G3" s="8" t="b">
        <v>1</v>
      </c>
      <c r="H3" s="23"/>
      <c r="I3" s="23"/>
      <c r="J3" s="23"/>
      <c r="K3" s="23"/>
      <c r="L3" s="23"/>
      <c r="M3" s="23"/>
      <c r="N3" s="8" t="b">
        <v>1</v>
      </c>
      <c r="O3" s="23"/>
      <c r="P3" s="23" t="s">
        <v>359</v>
      </c>
      <c r="Q3" s="23"/>
      <c r="R3" s="72"/>
    </row>
    <row r="4" spans="1:20" ht="24" x14ac:dyDescent="0.4">
      <c r="A4" s="57">
        <v>3</v>
      </c>
      <c r="B4" s="26" t="s">
        <v>296</v>
      </c>
      <c r="C4" s="8" t="s">
        <v>255</v>
      </c>
      <c r="D4" s="7" t="b">
        <v>0</v>
      </c>
      <c r="E4" s="7"/>
      <c r="F4" s="53" t="str">
        <f>CONCATENATE($C$2,C4)</f>
        <v>ค่าเบี้ยประชุมประธานกรรมการ</v>
      </c>
      <c r="G4" s="7" t="b">
        <v>1</v>
      </c>
      <c r="H4" s="13" t="s">
        <v>295</v>
      </c>
      <c r="I4" s="8"/>
      <c r="J4" s="8"/>
      <c r="K4" s="7"/>
      <c r="L4" s="7" t="b">
        <v>0</v>
      </c>
      <c r="M4" s="7">
        <v>10000</v>
      </c>
      <c r="N4" s="7"/>
      <c r="O4" s="8" t="s">
        <v>2</v>
      </c>
      <c r="P4" s="8" t="s">
        <v>359</v>
      </c>
      <c r="Q4" s="8"/>
      <c r="R4" s="73" t="s">
        <v>333</v>
      </c>
    </row>
    <row r="5" spans="1:20" ht="24" x14ac:dyDescent="0.4">
      <c r="A5" s="57">
        <v>4</v>
      </c>
      <c r="B5" s="26" t="s">
        <v>297</v>
      </c>
      <c r="C5" s="8" t="s">
        <v>275</v>
      </c>
      <c r="D5" s="7" t="b">
        <v>0</v>
      </c>
      <c r="E5" s="7"/>
      <c r="F5" s="53" t="str">
        <f>CONCATENATE($C$2,C5)</f>
        <v>ค่าเบี้ยประชุมรองประธานกรรมการ</v>
      </c>
      <c r="G5" s="7" t="b">
        <v>1</v>
      </c>
      <c r="H5" s="13" t="s">
        <v>295</v>
      </c>
      <c r="I5" s="8"/>
      <c r="J5" s="27"/>
      <c r="K5" s="27"/>
      <c r="L5" s="7" t="b">
        <v>1</v>
      </c>
      <c r="M5" s="7">
        <v>9000</v>
      </c>
      <c r="N5" s="7"/>
      <c r="O5" s="8" t="s">
        <v>2</v>
      </c>
      <c r="P5" s="8" t="s">
        <v>359</v>
      </c>
      <c r="Q5" s="8"/>
      <c r="R5" s="73" t="s">
        <v>334</v>
      </c>
      <c r="S5" s="51"/>
    </row>
    <row r="6" spans="1:20" ht="24" x14ac:dyDescent="0.4">
      <c r="A6" s="57">
        <v>5</v>
      </c>
      <c r="B6" s="26" t="s">
        <v>298</v>
      </c>
      <c r="C6" s="8" t="s">
        <v>256</v>
      </c>
      <c r="D6" s="7" t="b">
        <v>0</v>
      </c>
      <c r="E6" s="7"/>
      <c r="F6" s="53" t="str">
        <f>CONCATENATE($C$2,C6)</f>
        <v>ค่าเบี้ยประชุมกรรมการ</v>
      </c>
      <c r="G6" s="7" t="b">
        <v>1</v>
      </c>
      <c r="H6" s="13" t="s">
        <v>295</v>
      </c>
      <c r="I6" s="8"/>
      <c r="J6" s="8"/>
      <c r="K6" s="7"/>
      <c r="L6" s="7" t="b">
        <v>1</v>
      </c>
      <c r="M6" s="7">
        <v>8000</v>
      </c>
      <c r="N6" s="7"/>
      <c r="O6" s="8" t="s">
        <v>2</v>
      </c>
      <c r="P6" s="8" t="s">
        <v>359</v>
      </c>
      <c r="Q6" s="8"/>
      <c r="R6" s="73" t="s">
        <v>335</v>
      </c>
      <c r="S6" s="51"/>
    </row>
    <row r="7" spans="1:20" ht="24" x14ac:dyDescent="0.4">
      <c r="A7" s="57">
        <v>6</v>
      </c>
      <c r="B7" s="26" t="s">
        <v>299</v>
      </c>
      <c r="C7" s="8" t="s">
        <v>61</v>
      </c>
      <c r="D7" s="7" t="b">
        <v>0</v>
      </c>
      <c r="E7" s="7"/>
      <c r="F7" s="53" t="str">
        <f>CONCATENATE($C$2,C7)</f>
        <v>ค่าเบี้ยประชุมกรรมการและเลขานุการ</v>
      </c>
      <c r="G7" s="7" t="b">
        <v>1</v>
      </c>
      <c r="H7" s="13" t="s">
        <v>295</v>
      </c>
      <c r="I7" s="8"/>
      <c r="J7" s="27"/>
      <c r="K7" s="27"/>
      <c r="L7" s="7" t="b">
        <v>1</v>
      </c>
      <c r="M7" s="7">
        <v>8000</v>
      </c>
      <c r="N7" s="7"/>
      <c r="O7" s="8" t="s">
        <v>2</v>
      </c>
      <c r="P7" s="8" t="s">
        <v>359</v>
      </c>
      <c r="Q7" s="8"/>
      <c r="R7" s="73" t="s">
        <v>335</v>
      </c>
      <c r="S7" s="51"/>
    </row>
    <row r="8" spans="1:20" ht="24" x14ac:dyDescent="0.4">
      <c r="A8" s="57">
        <v>7</v>
      </c>
      <c r="B8" s="60" t="s">
        <v>288</v>
      </c>
      <c r="C8" s="23" t="s">
        <v>63</v>
      </c>
      <c r="D8" s="23" t="b">
        <f>TRUE</f>
        <v>1</v>
      </c>
      <c r="E8" s="23"/>
      <c r="F8" s="65" t="s">
        <v>254</v>
      </c>
      <c r="G8" s="8" t="b">
        <v>1</v>
      </c>
      <c r="H8" s="23"/>
      <c r="I8" s="23"/>
      <c r="J8" s="23"/>
      <c r="K8" s="23"/>
      <c r="L8" s="23"/>
      <c r="M8" s="23"/>
      <c r="N8" s="8" t="b">
        <v>1</v>
      </c>
      <c r="O8" s="23"/>
      <c r="P8" s="23" t="s">
        <v>359</v>
      </c>
      <c r="Q8" s="23"/>
      <c r="R8" s="72"/>
      <c r="S8" s="51"/>
    </row>
    <row r="9" spans="1:20" ht="24" x14ac:dyDescent="0.4">
      <c r="A9" s="57">
        <v>8</v>
      </c>
      <c r="B9" s="26" t="s">
        <v>385</v>
      </c>
      <c r="C9" s="8" t="s">
        <v>255</v>
      </c>
      <c r="D9" s="7" t="b">
        <v>0</v>
      </c>
      <c r="E9" s="7"/>
      <c r="F9" s="53" t="str">
        <f>CONCATENATE($C$2,C9)</f>
        <v>ค่าเบี้ยประชุมประธานกรรมการ</v>
      </c>
      <c r="G9" s="7" t="b">
        <v>1</v>
      </c>
      <c r="H9" s="13" t="s">
        <v>288</v>
      </c>
      <c r="I9" s="8"/>
      <c r="J9" s="8"/>
      <c r="K9" s="8"/>
      <c r="L9" s="7" t="b">
        <v>0</v>
      </c>
      <c r="M9" s="7">
        <v>3000</v>
      </c>
      <c r="N9" s="7"/>
      <c r="O9" s="8" t="s">
        <v>2</v>
      </c>
      <c r="P9" s="8" t="s">
        <v>359</v>
      </c>
      <c r="Q9" s="8"/>
      <c r="R9" s="73" t="s">
        <v>336</v>
      </c>
      <c r="S9" s="51"/>
    </row>
    <row r="10" spans="1:20" ht="24" x14ac:dyDescent="0.4">
      <c r="A10" s="57">
        <v>9</v>
      </c>
      <c r="B10" s="26" t="s">
        <v>300</v>
      </c>
      <c r="C10" s="8" t="s">
        <v>256</v>
      </c>
      <c r="D10" s="7" t="b">
        <v>0</v>
      </c>
      <c r="E10" s="7"/>
      <c r="F10" s="53" t="str">
        <f>CONCATENATE($C$2,C10)</f>
        <v>ค่าเบี้ยประชุมกรรมการ</v>
      </c>
      <c r="G10" s="7" t="b">
        <v>1</v>
      </c>
      <c r="H10" s="13" t="s">
        <v>288</v>
      </c>
      <c r="I10" s="8"/>
      <c r="J10" s="27"/>
      <c r="K10" s="8"/>
      <c r="L10" s="7" t="b">
        <v>1</v>
      </c>
      <c r="M10" s="7">
        <v>2400</v>
      </c>
      <c r="N10" s="7"/>
      <c r="O10" s="8" t="s">
        <v>2</v>
      </c>
      <c r="P10" s="8" t="s">
        <v>359</v>
      </c>
      <c r="Q10" s="8"/>
      <c r="R10" s="73" t="s">
        <v>337</v>
      </c>
      <c r="S10" s="51"/>
    </row>
    <row r="11" spans="1:20" ht="24" x14ac:dyDescent="0.4">
      <c r="A11" s="57">
        <v>10</v>
      </c>
      <c r="B11" s="26" t="s">
        <v>289</v>
      </c>
      <c r="C11" s="8" t="s">
        <v>61</v>
      </c>
      <c r="D11" s="7" t="b">
        <v>0</v>
      </c>
      <c r="E11" s="7"/>
      <c r="F11" s="53" t="str">
        <f>CONCATENATE($C$2,C11)</f>
        <v>ค่าเบี้ยประชุมกรรมการและเลขานุการ</v>
      </c>
      <c r="G11" s="7" t="b">
        <v>1</v>
      </c>
      <c r="H11" s="13" t="s">
        <v>288</v>
      </c>
      <c r="I11" s="8"/>
      <c r="J11" s="8"/>
      <c r="K11" s="8"/>
      <c r="L11" s="7" t="b">
        <v>1</v>
      </c>
      <c r="M11" s="7">
        <v>2400</v>
      </c>
      <c r="N11" s="7"/>
      <c r="O11" s="8" t="s">
        <v>2</v>
      </c>
      <c r="P11" s="8" t="s">
        <v>359</v>
      </c>
      <c r="Q11" s="8"/>
      <c r="R11" s="73" t="s">
        <v>337</v>
      </c>
      <c r="S11" s="51"/>
    </row>
    <row r="12" spans="1:20" ht="24" x14ac:dyDescent="0.4">
      <c r="A12" s="57">
        <v>11</v>
      </c>
      <c r="B12" s="26" t="s">
        <v>290</v>
      </c>
      <c r="C12" s="8" t="s">
        <v>257</v>
      </c>
      <c r="D12" s="7" t="b">
        <v>0</v>
      </c>
      <c r="E12" s="7"/>
      <c r="F12" s="53" t="str">
        <f>CONCATENATE($C$2,C12)</f>
        <v>ค่าเบี้ยประชุมกรรมการและผู้ช่วยเลขานุการ</v>
      </c>
      <c r="G12" s="7" t="b">
        <v>1</v>
      </c>
      <c r="H12" s="13" t="s">
        <v>288</v>
      </c>
      <c r="I12" s="8"/>
      <c r="J12" s="8"/>
      <c r="K12" s="8"/>
      <c r="L12" s="7" t="b">
        <v>1</v>
      </c>
      <c r="M12" s="7">
        <v>2400</v>
      </c>
      <c r="N12" s="7"/>
      <c r="O12" s="8" t="s">
        <v>2</v>
      </c>
      <c r="P12" s="8" t="s">
        <v>359</v>
      </c>
      <c r="Q12" s="8"/>
      <c r="R12" s="73" t="s">
        <v>337</v>
      </c>
      <c r="S12" s="51"/>
    </row>
    <row r="13" spans="1:20" s="47" customFormat="1" ht="24" x14ac:dyDescent="0.4">
      <c r="A13" s="57">
        <v>12</v>
      </c>
      <c r="B13" s="30" t="s">
        <v>291</v>
      </c>
      <c r="C13" s="62" t="s">
        <v>259</v>
      </c>
      <c r="D13" s="59" t="b">
        <f>TRUE</f>
        <v>1</v>
      </c>
      <c r="E13" s="59"/>
      <c r="F13" s="58" t="s">
        <v>254</v>
      </c>
      <c r="G13" s="8" t="b">
        <v>1</v>
      </c>
      <c r="H13" s="23"/>
      <c r="I13" s="23"/>
      <c r="J13" s="23"/>
      <c r="K13" s="23"/>
      <c r="L13" s="23"/>
      <c r="M13" s="23"/>
      <c r="N13" s="8" t="b">
        <v>1</v>
      </c>
      <c r="O13" s="30"/>
      <c r="P13" s="8" t="s">
        <v>359</v>
      </c>
      <c r="Q13" s="30"/>
      <c r="R13" s="64"/>
      <c r="T13"/>
    </row>
    <row r="14" spans="1:20" s="47" customFormat="1" ht="24" x14ac:dyDescent="0.4">
      <c r="A14" s="57">
        <v>13</v>
      </c>
      <c r="B14" s="26" t="s">
        <v>292</v>
      </c>
      <c r="C14" s="8" t="s">
        <v>57</v>
      </c>
      <c r="D14" s="7" t="b">
        <v>0</v>
      </c>
      <c r="E14" s="7"/>
      <c r="F14" s="53" t="str">
        <f>CONCATENATE("ค่าเบี้ยประชุม",C14)</f>
        <v>ค่าเบี้ยประชุมประธาน</v>
      </c>
      <c r="G14" s="7" t="b">
        <v>1</v>
      </c>
      <c r="H14" s="26" t="s">
        <v>291</v>
      </c>
      <c r="I14" s="8"/>
      <c r="J14" s="27"/>
      <c r="K14" s="27"/>
      <c r="L14" s="7" t="b">
        <v>0</v>
      </c>
      <c r="M14" s="7">
        <v>3000</v>
      </c>
      <c r="N14" s="7"/>
      <c r="O14" s="8" t="s">
        <v>2</v>
      </c>
      <c r="P14" s="8" t="s">
        <v>359</v>
      </c>
      <c r="Q14" s="8"/>
      <c r="R14" s="63" t="s">
        <v>342</v>
      </c>
      <c r="T14"/>
    </row>
    <row r="15" spans="1:20" s="47" customFormat="1" ht="24" x14ac:dyDescent="0.4">
      <c r="A15" s="57">
        <v>14</v>
      </c>
      <c r="B15" s="26" t="s">
        <v>293</v>
      </c>
      <c r="C15" s="8" t="s">
        <v>256</v>
      </c>
      <c r="D15" s="7" t="b">
        <v>0</v>
      </c>
      <c r="E15" s="7"/>
      <c r="F15" s="53" t="str">
        <f t="shared" ref="F15:F16" si="0">CONCATENATE("ค่าเบี้ยประชุม",C15)</f>
        <v>ค่าเบี้ยประชุมกรรมการ</v>
      </c>
      <c r="G15" s="7" t="b">
        <v>1</v>
      </c>
      <c r="H15" s="26" t="s">
        <v>291</v>
      </c>
      <c r="I15" s="8"/>
      <c r="J15" s="8"/>
      <c r="K15" s="7"/>
      <c r="L15" s="7" t="b">
        <v>1</v>
      </c>
      <c r="M15" s="7">
        <v>2400</v>
      </c>
      <c r="N15" s="7"/>
      <c r="O15" s="8" t="s">
        <v>2</v>
      </c>
      <c r="P15" s="8" t="s">
        <v>359</v>
      </c>
      <c r="Q15" s="8"/>
      <c r="R15" s="63" t="s">
        <v>343</v>
      </c>
      <c r="T15"/>
    </row>
    <row r="16" spans="1:20" s="47" customFormat="1" ht="24" x14ac:dyDescent="0.4">
      <c r="A16" s="57">
        <v>15</v>
      </c>
      <c r="B16" s="26" t="s">
        <v>294</v>
      </c>
      <c r="C16" s="8" t="s">
        <v>61</v>
      </c>
      <c r="D16" s="7" t="b">
        <v>0</v>
      </c>
      <c r="E16" s="7"/>
      <c r="F16" s="53" t="str">
        <f t="shared" si="0"/>
        <v>ค่าเบี้ยประชุมกรรมการและเลขานุการ</v>
      </c>
      <c r="G16" s="7" t="b">
        <v>1</v>
      </c>
      <c r="H16" s="26" t="s">
        <v>291</v>
      </c>
      <c r="I16" s="8"/>
      <c r="J16" s="27"/>
      <c r="K16" s="27"/>
      <c r="L16" s="7" t="b">
        <v>1</v>
      </c>
      <c r="M16" s="7">
        <v>2400</v>
      </c>
      <c r="N16" s="7"/>
      <c r="O16" s="8" t="s">
        <v>2</v>
      </c>
      <c r="P16" s="8" t="s">
        <v>359</v>
      </c>
      <c r="Q16" s="8"/>
      <c r="R16" s="63" t="s">
        <v>343</v>
      </c>
      <c r="T16"/>
    </row>
    <row r="17" spans="1:19" ht="24" x14ac:dyDescent="0.4">
      <c r="A17" s="57">
        <v>16</v>
      </c>
      <c r="B17" s="60" t="s">
        <v>381</v>
      </c>
      <c r="C17" s="23" t="s">
        <v>386</v>
      </c>
      <c r="D17" s="23" t="b">
        <f>TRUE</f>
        <v>1</v>
      </c>
      <c r="E17" s="23"/>
      <c r="F17" s="65" t="s">
        <v>254</v>
      </c>
      <c r="G17" s="8" t="b">
        <v>1</v>
      </c>
      <c r="H17" s="23"/>
      <c r="I17" s="23"/>
      <c r="J17" s="23"/>
      <c r="K17" s="23"/>
      <c r="L17" s="23"/>
      <c r="M17" s="23"/>
      <c r="N17" s="8" t="b">
        <v>1</v>
      </c>
      <c r="O17" s="23"/>
      <c r="P17" s="23" t="s">
        <v>359</v>
      </c>
      <c r="Q17" s="23"/>
      <c r="R17" s="72"/>
      <c r="S17" s="51"/>
    </row>
    <row r="18" spans="1:19" ht="24" x14ac:dyDescent="0.4">
      <c r="A18" s="57">
        <v>17</v>
      </c>
      <c r="B18" s="26" t="s">
        <v>382</v>
      </c>
      <c r="C18" s="8" t="s">
        <v>255</v>
      </c>
      <c r="D18" s="7" t="b">
        <v>0</v>
      </c>
      <c r="E18" s="7"/>
      <c r="F18" s="53" t="str">
        <f>CONCATENATE($C$2,C18)</f>
        <v>ค่าเบี้ยประชุมประธานกรรมการ</v>
      </c>
      <c r="G18" s="7" t="b">
        <v>1</v>
      </c>
      <c r="H18" s="13" t="s">
        <v>381</v>
      </c>
      <c r="I18" s="8"/>
      <c r="J18" s="8"/>
      <c r="K18" s="8"/>
      <c r="L18" s="7" t="b">
        <v>0</v>
      </c>
      <c r="M18" s="7">
        <v>10000</v>
      </c>
      <c r="N18" s="7"/>
      <c r="O18" s="8" t="s">
        <v>2</v>
      </c>
      <c r="P18" s="8" t="s">
        <v>359</v>
      </c>
      <c r="Q18" s="8"/>
      <c r="R18" s="73" t="s">
        <v>333</v>
      </c>
      <c r="S18" s="51"/>
    </row>
    <row r="19" spans="1:19" ht="24" x14ac:dyDescent="0.4">
      <c r="A19" s="57">
        <v>18</v>
      </c>
      <c r="B19" s="26" t="s">
        <v>383</v>
      </c>
      <c r="C19" s="8" t="s">
        <v>258</v>
      </c>
      <c r="D19" s="7" t="b">
        <v>0</v>
      </c>
      <c r="E19" s="7"/>
      <c r="F19" s="53" t="str">
        <f>CONCATENATE($C$2,C19)</f>
        <v xml:space="preserve">ค่าเบี้ยประชุมรองประธานกรรมการ </v>
      </c>
      <c r="G19" s="7" t="b">
        <v>1</v>
      </c>
      <c r="H19" s="13" t="s">
        <v>381</v>
      </c>
      <c r="I19" s="8"/>
      <c r="J19" s="27"/>
      <c r="K19" s="8"/>
      <c r="L19" s="7" t="b">
        <v>1</v>
      </c>
      <c r="M19" s="7">
        <v>9000</v>
      </c>
      <c r="N19" s="7"/>
      <c r="O19" s="8" t="s">
        <v>2</v>
      </c>
      <c r="P19" s="8" t="s">
        <v>359</v>
      </c>
      <c r="Q19" s="8"/>
      <c r="R19" s="73" t="s">
        <v>334</v>
      </c>
      <c r="S19" s="51"/>
    </row>
    <row r="20" spans="1:19" ht="24" x14ac:dyDescent="0.4">
      <c r="A20" s="57">
        <v>19</v>
      </c>
      <c r="B20" s="26" t="s">
        <v>384</v>
      </c>
      <c r="C20" s="8" t="s">
        <v>256</v>
      </c>
      <c r="D20" s="7" t="b">
        <v>0</v>
      </c>
      <c r="E20" s="7"/>
      <c r="F20" s="53" t="str">
        <f>CONCATENATE($C$2,C20)</f>
        <v>ค่าเบี้ยประชุมกรรมการ</v>
      </c>
      <c r="G20" s="7" t="b">
        <v>1</v>
      </c>
      <c r="H20" s="13" t="s">
        <v>381</v>
      </c>
      <c r="I20" s="8"/>
      <c r="J20" s="8"/>
      <c r="K20" s="8"/>
      <c r="L20" s="7" t="b">
        <v>1</v>
      </c>
      <c r="M20" s="7">
        <v>8000</v>
      </c>
      <c r="N20" s="7"/>
      <c r="O20" s="8" t="s">
        <v>2</v>
      </c>
      <c r="P20" s="8" t="s">
        <v>359</v>
      </c>
      <c r="Q20" s="8"/>
      <c r="R20" s="73" t="s">
        <v>335</v>
      </c>
      <c r="S20" s="51"/>
    </row>
    <row r="21" spans="1:19" ht="24" x14ac:dyDescent="0.4">
      <c r="A21" s="57">
        <v>20</v>
      </c>
      <c r="B21" s="60" t="s">
        <v>388</v>
      </c>
      <c r="C21" s="23" t="s">
        <v>28</v>
      </c>
      <c r="D21" s="23" t="b">
        <f>TRUE</f>
        <v>1</v>
      </c>
      <c r="E21" s="23"/>
      <c r="F21" s="65" t="s">
        <v>254</v>
      </c>
      <c r="G21" s="8" t="b">
        <v>1</v>
      </c>
      <c r="H21" s="23"/>
      <c r="I21" s="23"/>
      <c r="J21" s="23"/>
      <c r="K21" s="23"/>
      <c r="L21" s="23"/>
      <c r="M21" s="23"/>
      <c r="N21" s="8" t="b">
        <v>1</v>
      </c>
      <c r="O21" s="23"/>
      <c r="P21" s="23" t="s">
        <v>359</v>
      </c>
      <c r="Q21" s="23"/>
      <c r="R21" s="72"/>
      <c r="S21" s="51"/>
    </row>
    <row r="22" spans="1:19" ht="24" x14ac:dyDescent="0.4">
      <c r="A22" s="57">
        <v>21</v>
      </c>
      <c r="B22" s="26" t="s">
        <v>389</v>
      </c>
      <c r="C22" s="8" t="s">
        <v>255</v>
      </c>
      <c r="D22" s="7" t="b">
        <v>0</v>
      </c>
      <c r="E22" s="7"/>
      <c r="F22" s="53" t="str">
        <f>CONCATENATE($C$2,C22)</f>
        <v>ค่าเบี้ยประชุมประธานกรรมการ</v>
      </c>
      <c r="G22" s="7" t="b">
        <v>1</v>
      </c>
      <c r="H22" s="13" t="s">
        <v>388</v>
      </c>
      <c r="I22" s="8"/>
      <c r="J22" s="8"/>
      <c r="K22" s="8"/>
      <c r="L22" s="7" t="b">
        <v>0</v>
      </c>
      <c r="M22" s="7">
        <v>2000</v>
      </c>
      <c r="N22" s="7"/>
      <c r="O22" s="8" t="s">
        <v>2</v>
      </c>
      <c r="P22" s="8" t="s">
        <v>359</v>
      </c>
      <c r="Q22" s="8"/>
      <c r="R22" s="73" t="s">
        <v>338</v>
      </c>
      <c r="S22" s="51"/>
    </row>
    <row r="23" spans="1:19" ht="24" x14ac:dyDescent="0.4">
      <c r="A23" s="57">
        <v>22</v>
      </c>
      <c r="B23" s="26" t="s">
        <v>390</v>
      </c>
      <c r="C23" s="8" t="s">
        <v>258</v>
      </c>
      <c r="D23" s="7" t="b">
        <v>0</v>
      </c>
      <c r="E23" s="7"/>
      <c r="F23" s="53" t="str">
        <f>CONCATENATE($C$2,C23)</f>
        <v xml:space="preserve">ค่าเบี้ยประชุมรองประธานกรรมการ </v>
      </c>
      <c r="G23" s="7" t="b">
        <v>1</v>
      </c>
      <c r="H23" s="13" t="s">
        <v>388</v>
      </c>
      <c r="I23" s="8"/>
      <c r="J23" s="27"/>
      <c r="K23" s="8"/>
      <c r="L23" s="7" t="b">
        <v>1</v>
      </c>
      <c r="M23" s="7">
        <v>1800</v>
      </c>
      <c r="N23" s="7"/>
      <c r="O23" s="8" t="s">
        <v>2</v>
      </c>
      <c r="P23" s="8" t="s">
        <v>359</v>
      </c>
      <c r="Q23" s="8"/>
      <c r="R23" s="73" t="s">
        <v>339</v>
      </c>
      <c r="S23" s="51"/>
    </row>
    <row r="24" spans="1:19" ht="24" x14ac:dyDescent="0.4">
      <c r="A24" s="57">
        <v>23</v>
      </c>
      <c r="B24" s="26" t="s">
        <v>391</v>
      </c>
      <c r="C24" s="8" t="s">
        <v>256</v>
      </c>
      <c r="D24" s="7" t="b">
        <v>0</v>
      </c>
      <c r="E24" s="7"/>
      <c r="F24" s="53" t="str">
        <f>CONCATENATE($C$2,C24)</f>
        <v>ค่าเบี้ยประชุมกรรมการ</v>
      </c>
      <c r="G24" s="7" t="b">
        <v>1</v>
      </c>
      <c r="H24" s="13" t="s">
        <v>388</v>
      </c>
      <c r="I24" s="8"/>
      <c r="J24" s="8"/>
      <c r="K24" s="8"/>
      <c r="L24" s="7" t="b">
        <v>1</v>
      </c>
      <c r="M24" s="7">
        <v>1600</v>
      </c>
      <c r="N24" s="7"/>
      <c r="O24" s="8" t="s">
        <v>2</v>
      </c>
      <c r="P24" s="8" t="s">
        <v>359</v>
      </c>
      <c r="Q24" s="8"/>
      <c r="R24" s="73" t="s">
        <v>340</v>
      </c>
      <c r="S24" s="51"/>
    </row>
    <row r="25" spans="1:19" ht="24" x14ac:dyDescent="0.4">
      <c r="A25" s="57">
        <v>24</v>
      </c>
      <c r="B25" s="26" t="s">
        <v>392</v>
      </c>
      <c r="C25" s="8" t="s">
        <v>61</v>
      </c>
      <c r="D25" s="7" t="b">
        <v>0</v>
      </c>
      <c r="E25" s="7"/>
      <c r="F25" s="53" t="str">
        <f>CONCATENATE($C$2,C25)</f>
        <v>ค่าเบี้ยประชุมกรรมการและเลขานุการ</v>
      </c>
      <c r="G25" s="7" t="b">
        <v>1</v>
      </c>
      <c r="H25" s="13" t="s">
        <v>388</v>
      </c>
      <c r="I25" s="8"/>
      <c r="J25" s="8"/>
      <c r="K25" s="8"/>
      <c r="L25" s="7" t="b">
        <v>1</v>
      </c>
      <c r="M25" s="7">
        <v>1600</v>
      </c>
      <c r="N25" s="7"/>
      <c r="O25" s="8" t="s">
        <v>2</v>
      </c>
      <c r="P25" s="8" t="s">
        <v>359</v>
      </c>
      <c r="Q25" s="8"/>
      <c r="R25" s="73" t="s">
        <v>340</v>
      </c>
      <c r="S25" s="51"/>
    </row>
    <row r="26" spans="1:19" ht="24" x14ac:dyDescent="0.4">
      <c r="A26" s="57">
        <v>25</v>
      </c>
      <c r="B26" s="60">
        <v>9.1</v>
      </c>
      <c r="C26" s="23" t="s">
        <v>248</v>
      </c>
      <c r="D26" s="23" t="b">
        <v>1</v>
      </c>
      <c r="E26" s="23"/>
      <c r="F26" s="8" t="s">
        <v>43</v>
      </c>
      <c r="G26" s="8" t="b">
        <v>1</v>
      </c>
      <c r="H26" s="23"/>
      <c r="I26" s="23" t="b">
        <v>1</v>
      </c>
      <c r="J26" s="23"/>
      <c r="K26" s="23"/>
      <c r="L26" s="23"/>
      <c r="M26" s="23"/>
      <c r="N26" s="23"/>
      <c r="O26" s="23"/>
      <c r="P26" s="23" t="s">
        <v>360</v>
      </c>
      <c r="Q26" s="23"/>
      <c r="R26" s="12"/>
    </row>
    <row r="27" spans="1:19" ht="24" x14ac:dyDescent="0.4">
      <c r="A27" s="57">
        <v>26</v>
      </c>
      <c r="B27" s="27" t="s">
        <v>399</v>
      </c>
      <c r="C27" s="8" t="s">
        <v>249</v>
      </c>
      <c r="D27" s="8" t="b">
        <v>1</v>
      </c>
      <c r="E27" s="8"/>
      <c r="F27" s="8"/>
      <c r="G27" s="8"/>
      <c r="H27" s="27">
        <v>9.1</v>
      </c>
      <c r="I27" s="8"/>
      <c r="J27" s="8"/>
      <c r="K27" s="7" t="b">
        <v>1</v>
      </c>
      <c r="L27" s="8"/>
      <c r="M27" s="7"/>
      <c r="N27" s="7"/>
      <c r="O27" s="8"/>
      <c r="P27" s="8" t="s">
        <v>351</v>
      </c>
      <c r="Q27" s="8"/>
      <c r="R27" s="24"/>
    </row>
    <row r="28" spans="1:19" ht="24" x14ac:dyDescent="0.4">
      <c r="A28" s="57">
        <v>27</v>
      </c>
      <c r="B28" s="27" t="s">
        <v>409</v>
      </c>
      <c r="C28" s="8" t="s">
        <v>43</v>
      </c>
      <c r="D28" s="8" t="b">
        <v>0</v>
      </c>
      <c r="E28" s="8"/>
      <c r="F28" s="8" t="s">
        <v>37</v>
      </c>
      <c r="G28" s="8" t="b">
        <v>1</v>
      </c>
      <c r="H28" s="27" t="s">
        <v>399</v>
      </c>
      <c r="I28" s="8"/>
      <c r="J28" s="27">
        <v>9.1</v>
      </c>
      <c r="K28" s="27"/>
      <c r="L28" s="8"/>
      <c r="M28" s="7">
        <v>35</v>
      </c>
      <c r="N28" s="7"/>
      <c r="O28" s="8" t="s">
        <v>274</v>
      </c>
      <c r="P28" s="8" t="s">
        <v>214</v>
      </c>
      <c r="Q28" s="8"/>
      <c r="R28" s="24" t="s">
        <v>250</v>
      </c>
    </row>
    <row r="29" spans="1:19" ht="24" x14ac:dyDescent="0.4">
      <c r="A29" s="57">
        <v>28</v>
      </c>
      <c r="B29" s="27" t="s">
        <v>400</v>
      </c>
      <c r="C29" s="8" t="s">
        <v>251</v>
      </c>
      <c r="D29" s="8" t="b">
        <v>1</v>
      </c>
      <c r="E29" s="8"/>
      <c r="F29" s="8"/>
      <c r="G29" s="8"/>
      <c r="H29" s="27">
        <v>9.1</v>
      </c>
      <c r="I29" s="8"/>
      <c r="J29" s="8"/>
      <c r="K29" s="7" t="b">
        <v>1</v>
      </c>
      <c r="L29" s="8"/>
      <c r="M29" s="7"/>
      <c r="N29" s="7"/>
      <c r="O29" s="8"/>
      <c r="P29" s="8" t="s">
        <v>214</v>
      </c>
      <c r="Q29" s="8"/>
      <c r="R29" s="24"/>
    </row>
    <row r="30" spans="1:19" ht="24" x14ac:dyDescent="0.4">
      <c r="A30" s="57">
        <v>29</v>
      </c>
      <c r="B30" s="27" t="s">
        <v>410</v>
      </c>
      <c r="C30" s="8" t="s">
        <v>43</v>
      </c>
      <c r="D30" s="8" t="b">
        <v>0</v>
      </c>
      <c r="E30" s="8"/>
      <c r="F30" s="8" t="s">
        <v>37</v>
      </c>
      <c r="G30" s="8" t="b">
        <v>1</v>
      </c>
      <c r="H30" s="27" t="s">
        <v>400</v>
      </c>
      <c r="I30" s="8"/>
      <c r="J30" s="27">
        <v>9.1</v>
      </c>
      <c r="K30" s="27"/>
      <c r="L30" s="8"/>
      <c r="M30" s="7">
        <v>50</v>
      </c>
      <c r="N30" s="7"/>
      <c r="O30" s="8" t="s">
        <v>274</v>
      </c>
      <c r="P30" s="8" t="s">
        <v>214</v>
      </c>
      <c r="Q30" s="8"/>
      <c r="R30" s="24" t="s">
        <v>252</v>
      </c>
    </row>
    <row r="31" spans="1:19" ht="24" x14ac:dyDescent="0.4">
      <c r="A31" s="57">
        <v>30</v>
      </c>
      <c r="B31" s="27" t="s">
        <v>401</v>
      </c>
      <c r="C31" s="8" t="s">
        <v>253</v>
      </c>
      <c r="D31" s="8" t="b">
        <v>1</v>
      </c>
      <c r="E31" s="8"/>
      <c r="F31" s="8"/>
      <c r="G31" s="8" t="b">
        <v>1</v>
      </c>
      <c r="H31" s="27"/>
      <c r="I31" s="8"/>
      <c r="J31" s="27"/>
      <c r="K31" s="27"/>
      <c r="L31" s="8"/>
      <c r="M31" s="7"/>
      <c r="N31" s="8" t="b">
        <v>1</v>
      </c>
      <c r="O31" s="8"/>
      <c r="P31" s="8"/>
      <c r="Q31" s="8"/>
      <c r="R31" s="24"/>
    </row>
    <row r="32" spans="1:19" ht="24" x14ac:dyDescent="0.4">
      <c r="A32" s="57">
        <v>31</v>
      </c>
      <c r="B32" s="27" t="s">
        <v>425</v>
      </c>
      <c r="C32" s="8" t="s">
        <v>253</v>
      </c>
      <c r="D32" s="8" t="b">
        <v>0</v>
      </c>
      <c r="E32" s="8"/>
      <c r="F32" s="8"/>
      <c r="G32" s="8" t="b">
        <v>1</v>
      </c>
      <c r="H32" s="27" t="s">
        <v>401</v>
      </c>
      <c r="I32" s="8"/>
      <c r="J32" s="27"/>
      <c r="K32" s="27"/>
      <c r="L32" s="8"/>
      <c r="M32" s="7">
        <v>120</v>
      </c>
      <c r="N32" s="7"/>
      <c r="O32" s="8" t="s">
        <v>274</v>
      </c>
      <c r="P32" s="8" t="s">
        <v>213</v>
      </c>
      <c r="Q32" s="8"/>
      <c r="R32" s="24" t="s">
        <v>273</v>
      </c>
    </row>
    <row r="33" spans="1:20" ht="24" x14ac:dyDescent="0.4">
      <c r="A33" s="57">
        <v>32</v>
      </c>
      <c r="B33" s="60">
        <v>9.1999999999999993</v>
      </c>
      <c r="C33" s="23" t="s">
        <v>94</v>
      </c>
      <c r="D33" s="23" t="b">
        <v>1</v>
      </c>
      <c r="E33" s="23"/>
      <c r="F33" s="65"/>
      <c r="G33" s="7" t="b">
        <v>1</v>
      </c>
      <c r="H33" s="23"/>
      <c r="I33" s="23"/>
      <c r="J33" s="23"/>
      <c r="K33" s="23"/>
      <c r="L33" s="23"/>
      <c r="M33" s="23"/>
      <c r="N33" s="7" t="b">
        <v>1</v>
      </c>
      <c r="O33" s="23"/>
      <c r="P33" s="23" t="s">
        <v>353</v>
      </c>
      <c r="Q33" s="23"/>
      <c r="R33" s="72"/>
    </row>
    <row r="34" spans="1:20" ht="24" x14ac:dyDescent="0.4">
      <c r="A34" s="57">
        <v>33</v>
      </c>
      <c r="B34" s="27" t="s">
        <v>402</v>
      </c>
      <c r="C34" s="8" t="s">
        <v>276</v>
      </c>
      <c r="D34" s="8" t="b">
        <v>0</v>
      </c>
      <c r="E34" s="8"/>
      <c r="F34" s="53"/>
      <c r="G34" s="7" t="b">
        <v>1</v>
      </c>
      <c r="H34" s="8">
        <v>9.1999999999999993</v>
      </c>
      <c r="I34" s="8"/>
      <c r="J34" s="8"/>
      <c r="K34" s="27"/>
      <c r="L34" s="8" t="b">
        <v>1</v>
      </c>
      <c r="M34" s="7"/>
      <c r="N34" s="7"/>
      <c r="O34" s="8" t="s">
        <v>2</v>
      </c>
      <c r="P34" s="8" t="s">
        <v>352</v>
      </c>
      <c r="Q34" s="8"/>
      <c r="R34" s="50"/>
    </row>
    <row r="35" spans="1:20" ht="24" x14ac:dyDescent="0.4">
      <c r="A35" s="57">
        <v>34</v>
      </c>
      <c r="B35" s="27" t="s">
        <v>403</v>
      </c>
      <c r="C35" s="8" t="s">
        <v>277</v>
      </c>
      <c r="D35" s="8" t="b">
        <v>0</v>
      </c>
      <c r="E35" s="8"/>
      <c r="F35" s="53"/>
      <c r="G35" s="7" t="b">
        <v>1</v>
      </c>
      <c r="H35" s="8">
        <v>9.1999999999999993</v>
      </c>
      <c r="I35" s="8"/>
      <c r="J35" s="8"/>
      <c r="K35" s="27"/>
      <c r="L35" s="8" t="b">
        <v>1</v>
      </c>
      <c r="M35" s="7"/>
      <c r="N35" s="7"/>
      <c r="O35" s="8" t="s">
        <v>377</v>
      </c>
      <c r="P35" s="8" t="s">
        <v>355</v>
      </c>
      <c r="Q35" s="8"/>
      <c r="R35" s="66" t="s">
        <v>374</v>
      </c>
    </row>
    <row r="36" spans="1:20" s="47" customFormat="1" ht="24" x14ac:dyDescent="0.4">
      <c r="A36" s="57">
        <v>35</v>
      </c>
      <c r="B36" s="27" t="s">
        <v>404</v>
      </c>
      <c r="C36" s="8" t="s">
        <v>422</v>
      </c>
      <c r="D36" s="7" t="b">
        <v>0</v>
      </c>
      <c r="E36" s="7"/>
      <c r="F36" s="53"/>
      <c r="G36" s="7" t="b">
        <v>1</v>
      </c>
      <c r="H36" s="8">
        <v>9.1999999999999993</v>
      </c>
      <c r="I36" s="8"/>
      <c r="J36" s="8"/>
      <c r="K36" s="8"/>
      <c r="L36" s="8" t="b">
        <v>1</v>
      </c>
      <c r="M36" s="7"/>
      <c r="N36" s="7"/>
      <c r="O36" s="8" t="s">
        <v>2</v>
      </c>
      <c r="P36" s="8" t="s">
        <v>353</v>
      </c>
      <c r="Q36" s="8"/>
      <c r="R36" s="63"/>
      <c r="T36"/>
    </row>
    <row r="37" spans="1:20" s="47" customFormat="1" ht="24" x14ac:dyDescent="0.4">
      <c r="A37" s="57">
        <v>36</v>
      </c>
      <c r="B37" s="27" t="s">
        <v>405</v>
      </c>
      <c r="C37" s="8" t="s">
        <v>423</v>
      </c>
      <c r="D37" s="7" t="b">
        <v>0</v>
      </c>
      <c r="E37" s="7"/>
      <c r="F37" s="53"/>
      <c r="G37" s="7" t="b">
        <v>1</v>
      </c>
      <c r="H37" s="8">
        <v>9.1999999999999993</v>
      </c>
      <c r="I37" s="8"/>
      <c r="J37" s="8"/>
      <c r="K37" s="8"/>
      <c r="L37" s="8" t="b">
        <v>1</v>
      </c>
      <c r="M37" s="7"/>
      <c r="N37" s="7"/>
      <c r="O37" s="8" t="s">
        <v>2</v>
      </c>
      <c r="P37" s="8" t="s">
        <v>354</v>
      </c>
      <c r="Q37" s="8"/>
      <c r="R37" s="63"/>
      <c r="T37"/>
    </row>
    <row r="38" spans="1:20" s="47" customFormat="1" ht="24" x14ac:dyDescent="0.4">
      <c r="A38" s="57">
        <v>37</v>
      </c>
      <c r="B38" s="27" t="s">
        <v>406</v>
      </c>
      <c r="C38" s="8" t="s">
        <v>378</v>
      </c>
      <c r="D38" s="7" t="b">
        <v>0</v>
      </c>
      <c r="E38" s="7"/>
      <c r="F38" s="53"/>
      <c r="G38" s="7" t="b">
        <v>1</v>
      </c>
      <c r="H38" s="8">
        <v>9.1999999999999993</v>
      </c>
      <c r="I38" s="8"/>
      <c r="J38" s="8"/>
      <c r="K38" s="8"/>
      <c r="L38" s="8" t="b">
        <v>1</v>
      </c>
      <c r="M38" s="7"/>
      <c r="N38" s="7"/>
      <c r="O38" s="8" t="s">
        <v>2</v>
      </c>
      <c r="P38" s="8" t="s">
        <v>380</v>
      </c>
      <c r="Q38" s="8"/>
      <c r="R38" s="63"/>
      <c r="T38"/>
    </row>
    <row r="39" spans="1:20" s="47" customFormat="1" ht="24" x14ac:dyDescent="0.4">
      <c r="A39" s="57">
        <v>38</v>
      </c>
      <c r="B39" s="27" t="s">
        <v>407</v>
      </c>
      <c r="C39" s="8" t="s">
        <v>379</v>
      </c>
      <c r="D39" s="7" t="b">
        <v>0</v>
      </c>
      <c r="E39" s="7"/>
      <c r="F39" s="53"/>
      <c r="G39" s="7" t="b">
        <v>1</v>
      </c>
      <c r="H39" s="8">
        <v>9.1999999999999993</v>
      </c>
      <c r="I39" s="8"/>
      <c r="J39" s="8"/>
      <c r="K39" s="8"/>
      <c r="L39" s="8" t="b">
        <v>1</v>
      </c>
      <c r="M39" s="7"/>
      <c r="N39" s="7"/>
      <c r="O39" s="8" t="s">
        <v>373</v>
      </c>
      <c r="P39" s="8" t="s">
        <v>355</v>
      </c>
      <c r="Q39" s="8"/>
      <c r="R39" s="63"/>
      <c r="T39"/>
    </row>
    <row r="40" spans="1:20" ht="24" x14ac:dyDescent="0.4">
      <c r="A40" s="57">
        <v>39</v>
      </c>
      <c r="B40" s="27" t="s">
        <v>408</v>
      </c>
      <c r="C40" s="8" t="s">
        <v>350</v>
      </c>
      <c r="D40" s="8" t="b">
        <v>0</v>
      </c>
      <c r="E40" s="8"/>
      <c r="F40" s="53"/>
      <c r="G40" s="7" t="b">
        <v>1</v>
      </c>
      <c r="H40" s="8">
        <v>9.1999999999999993</v>
      </c>
      <c r="I40" s="8"/>
      <c r="J40" s="8"/>
      <c r="K40" s="27"/>
      <c r="L40" s="8" t="b">
        <v>1</v>
      </c>
      <c r="M40" s="7"/>
      <c r="N40" s="7"/>
      <c r="O40" s="8" t="s">
        <v>373</v>
      </c>
      <c r="P40" s="8" t="s">
        <v>354</v>
      </c>
      <c r="Q40" s="8" t="s">
        <v>309</v>
      </c>
      <c r="R40" s="50"/>
    </row>
    <row r="41" spans="1:20" ht="24" x14ac:dyDescent="0.4">
      <c r="A41" s="57">
        <v>40</v>
      </c>
      <c r="B41" s="60">
        <v>9.3000000000000007</v>
      </c>
      <c r="C41" s="23" t="s">
        <v>235</v>
      </c>
      <c r="D41" s="23" t="b">
        <v>1</v>
      </c>
      <c r="E41" s="23"/>
      <c r="F41" s="65"/>
      <c r="G41" s="23"/>
      <c r="H41" s="23"/>
      <c r="I41" s="23"/>
      <c r="J41" s="23"/>
      <c r="K41" s="23"/>
      <c r="L41" s="23"/>
      <c r="M41" s="23"/>
      <c r="N41" s="23"/>
      <c r="O41" s="23"/>
      <c r="P41" s="23" t="s">
        <v>361</v>
      </c>
      <c r="Q41" s="23"/>
      <c r="R41" s="12"/>
    </row>
    <row r="42" spans="1:20" ht="24" x14ac:dyDescent="0.4">
      <c r="A42" s="57">
        <v>41</v>
      </c>
      <c r="B42" s="27" t="s">
        <v>411</v>
      </c>
      <c r="C42" s="8" t="s">
        <v>278</v>
      </c>
      <c r="D42" s="8" t="b">
        <v>0</v>
      </c>
      <c r="E42" s="8" t="b">
        <v>1</v>
      </c>
      <c r="F42" s="53"/>
      <c r="G42" s="8" t="b">
        <v>1</v>
      </c>
      <c r="H42" s="27">
        <v>9.3000000000000007</v>
      </c>
      <c r="I42" s="8"/>
      <c r="J42" s="8"/>
      <c r="K42" s="27"/>
      <c r="L42" s="8" t="b">
        <v>1</v>
      </c>
      <c r="M42" s="7"/>
      <c r="N42" s="7"/>
      <c r="O42" s="8" t="s">
        <v>373</v>
      </c>
      <c r="P42" s="8"/>
      <c r="Q42" s="8" t="s">
        <v>309</v>
      </c>
      <c r="R42" s="24"/>
    </row>
  </sheetData>
  <phoneticPr fontId="5" type="noConversion"/>
  <conditionalFormatting sqref="G1">
    <cfRule type="cellIs" dxfId="39" priority="20" operator="equal">
      <formula>TRUE</formula>
    </cfRule>
  </conditionalFormatting>
  <conditionalFormatting sqref="D1:E25 D33:E41 D43:E1048576 D42">
    <cfRule type="cellIs" dxfId="38" priority="19" operator="equal">
      <formula>TRUE</formula>
    </cfRule>
  </conditionalFormatting>
  <conditionalFormatting sqref="G34:G1048576 G1:G2 G4:G7 G9:G12 G14:G16 G18:G20 G22:G25">
    <cfRule type="cellIs" dxfId="37" priority="18" operator="equal">
      <formula>TRUE</formula>
    </cfRule>
  </conditionalFormatting>
  <conditionalFormatting sqref="G33">
    <cfRule type="cellIs" dxfId="36" priority="17" operator="equal">
      <formula>TRUE</formula>
    </cfRule>
  </conditionalFormatting>
  <conditionalFormatting sqref="N33">
    <cfRule type="cellIs" dxfId="35" priority="16" operator="equal">
      <formula>TRUE</formula>
    </cfRule>
  </conditionalFormatting>
  <conditionalFormatting sqref="E42">
    <cfRule type="cellIs" dxfId="34" priority="14" operator="equal">
      <formula>TRUE</formula>
    </cfRule>
  </conditionalFormatting>
  <conditionalFormatting sqref="D28:G28 D30:G30 D26:E27 D29:E29 G29 G26:G27">
    <cfRule type="cellIs" dxfId="33" priority="13" operator="equal">
      <formula>TRUE</formula>
    </cfRule>
  </conditionalFormatting>
  <conditionalFormatting sqref="G3">
    <cfRule type="cellIs" dxfId="32" priority="12" operator="equal">
      <formula>TRUE</formula>
    </cfRule>
  </conditionalFormatting>
  <conditionalFormatting sqref="N3">
    <cfRule type="cellIs" dxfId="31" priority="11" operator="equal">
      <formula>TRUE</formula>
    </cfRule>
  </conditionalFormatting>
  <conditionalFormatting sqref="G8">
    <cfRule type="cellIs" dxfId="30" priority="10" operator="equal">
      <formula>TRUE</formula>
    </cfRule>
  </conditionalFormatting>
  <conditionalFormatting sqref="N8">
    <cfRule type="cellIs" dxfId="29" priority="9" operator="equal">
      <formula>TRUE</formula>
    </cfRule>
  </conditionalFormatting>
  <conditionalFormatting sqref="G13">
    <cfRule type="cellIs" dxfId="28" priority="8" operator="equal">
      <formula>TRUE</formula>
    </cfRule>
  </conditionalFormatting>
  <conditionalFormatting sqref="N13">
    <cfRule type="cellIs" dxfId="27" priority="7" operator="equal">
      <formula>TRUE</formula>
    </cfRule>
  </conditionalFormatting>
  <conditionalFormatting sqref="G17">
    <cfRule type="cellIs" dxfId="26" priority="6" operator="equal">
      <formula>TRUE</formula>
    </cfRule>
  </conditionalFormatting>
  <conditionalFormatting sqref="N17">
    <cfRule type="cellIs" dxfId="25" priority="5" operator="equal">
      <formula>TRUE</formula>
    </cfRule>
  </conditionalFormatting>
  <conditionalFormatting sqref="G21">
    <cfRule type="cellIs" dxfId="24" priority="4" operator="equal">
      <formula>TRUE</formula>
    </cfRule>
  </conditionalFormatting>
  <conditionalFormatting sqref="N21">
    <cfRule type="cellIs" dxfId="23" priority="3" operator="equal">
      <formula>TRUE</formula>
    </cfRule>
  </conditionalFormatting>
  <conditionalFormatting sqref="D31:G32">
    <cfRule type="cellIs" dxfId="22" priority="2" operator="equal">
      <formula>TRUE</formula>
    </cfRule>
  </conditionalFormatting>
  <conditionalFormatting sqref="N31">
    <cfRule type="cellIs" dxfId="21" priority="1" operator="equal">
      <formula>TRUE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B7167-DF08-1E48-9F53-E8CDCDDE424A}">
  <dimension ref="A1:T32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" sqref="A2:A32"/>
    </sheetView>
  </sheetViews>
  <sheetFormatPr baseColWidth="10" defaultRowHeight="18" x14ac:dyDescent="0.3"/>
  <cols>
    <col min="1" max="1" width="5.5" style="47" bestFit="1" customWidth="1"/>
    <col min="2" max="2" width="10.5" style="47" bestFit="1" customWidth="1"/>
    <col min="3" max="3" width="30" style="47" bestFit="1" customWidth="1"/>
    <col min="4" max="4" width="15.1640625" style="47" bestFit="1" customWidth="1"/>
    <col min="5" max="5" width="15.1640625" style="47" customWidth="1"/>
    <col min="6" max="6" width="34.6640625" style="55" customWidth="1"/>
    <col min="7" max="7" width="25.83203125" style="47" bestFit="1" customWidth="1"/>
    <col min="8" max="8" width="15.1640625" style="47" customWidth="1"/>
    <col min="9" max="9" width="11" bestFit="1" customWidth="1"/>
    <col min="10" max="10" width="11.83203125" bestFit="1" customWidth="1"/>
    <col min="11" max="11" width="7.83203125" bestFit="1" customWidth="1"/>
    <col min="12" max="12" width="15.1640625" style="47" customWidth="1"/>
    <col min="13" max="13" width="12.1640625" style="47" customWidth="1"/>
    <col min="14" max="14" width="13.33203125" style="47" bestFit="1" customWidth="1"/>
    <col min="15" max="15" width="10.83203125" style="47"/>
    <col min="16" max="16" width="11.1640625" bestFit="1" customWidth="1"/>
    <col min="17" max="17" width="10.33203125" style="47" bestFit="1" customWidth="1"/>
    <col min="18" max="18" width="46.83203125" style="47" bestFit="1" customWidth="1"/>
    <col min="19" max="16384" width="10.83203125" style="47"/>
  </cols>
  <sheetData>
    <row r="1" spans="1:20" ht="24" x14ac:dyDescent="0.4">
      <c r="A1" s="57" t="s">
        <v>162</v>
      </c>
      <c r="B1" s="4" t="s">
        <v>163</v>
      </c>
      <c r="C1" s="5" t="s">
        <v>0</v>
      </c>
      <c r="D1" s="33" t="s">
        <v>188</v>
      </c>
      <c r="E1" s="33" t="s">
        <v>421</v>
      </c>
      <c r="F1" s="33" t="s">
        <v>367</v>
      </c>
      <c r="G1" s="56" t="s">
        <v>370</v>
      </c>
      <c r="H1" s="33" t="s">
        <v>225</v>
      </c>
      <c r="I1" s="33" t="s">
        <v>242</v>
      </c>
      <c r="J1" s="33" t="s">
        <v>272</v>
      </c>
      <c r="K1" s="33" t="s">
        <v>240</v>
      </c>
      <c r="L1" s="33" t="s">
        <v>189</v>
      </c>
      <c r="M1" s="61" t="s">
        <v>1</v>
      </c>
      <c r="N1" s="61" t="s">
        <v>398</v>
      </c>
      <c r="O1" s="57" t="s">
        <v>209</v>
      </c>
      <c r="P1" s="57" t="s">
        <v>212</v>
      </c>
      <c r="Q1" s="57" t="s">
        <v>165</v>
      </c>
      <c r="R1" s="57" t="s">
        <v>164</v>
      </c>
    </row>
    <row r="2" spans="1:20" ht="24" x14ac:dyDescent="0.4">
      <c r="A2" s="57">
        <v>1</v>
      </c>
      <c r="B2" s="30">
        <v>7.1</v>
      </c>
      <c r="C2" s="62" t="s">
        <v>95</v>
      </c>
      <c r="D2" s="59" t="b">
        <f>TRUE</f>
        <v>1</v>
      </c>
      <c r="E2" s="59"/>
      <c r="F2" s="58" t="s">
        <v>254</v>
      </c>
      <c r="G2" s="7" t="b">
        <v>1</v>
      </c>
      <c r="H2" s="30"/>
      <c r="I2" s="30"/>
      <c r="J2" s="30"/>
      <c r="K2" s="30"/>
      <c r="L2" s="59"/>
      <c r="M2" s="30"/>
      <c r="N2" s="7" t="b">
        <v>1</v>
      </c>
      <c r="O2" s="30"/>
      <c r="P2" s="10" t="s">
        <v>359</v>
      </c>
      <c r="Q2" s="30"/>
      <c r="R2" s="30"/>
    </row>
    <row r="3" spans="1:20" ht="24" x14ac:dyDescent="0.4">
      <c r="A3" s="57">
        <v>2</v>
      </c>
      <c r="B3" s="26" t="s">
        <v>301</v>
      </c>
      <c r="C3" s="8" t="s">
        <v>260</v>
      </c>
      <c r="D3" s="7" t="b">
        <v>0</v>
      </c>
      <c r="E3" s="7"/>
      <c r="F3" s="53" t="str">
        <f>CONCATENATE("ค่าเบี้ยประชุม",C3)</f>
        <v>ค่าเบี้ยประชุมอนุกรรมการ</v>
      </c>
      <c r="G3" s="7" t="b">
        <v>1</v>
      </c>
      <c r="H3" s="26">
        <v>7.1</v>
      </c>
      <c r="I3" s="26"/>
      <c r="J3" s="26"/>
      <c r="K3" s="26"/>
      <c r="L3" s="7" t="b">
        <v>0</v>
      </c>
      <c r="M3" s="7">
        <v>1000</v>
      </c>
      <c r="N3" s="7"/>
      <c r="O3" s="8" t="s">
        <v>2</v>
      </c>
      <c r="P3" s="23" t="s">
        <v>359</v>
      </c>
      <c r="Q3" s="8"/>
      <c r="R3" s="63" t="s">
        <v>341</v>
      </c>
      <c r="S3"/>
      <c r="T3"/>
    </row>
    <row r="4" spans="1:20" ht="24" x14ac:dyDescent="0.4">
      <c r="A4" s="57">
        <v>3</v>
      </c>
      <c r="B4" s="30">
        <v>7.2</v>
      </c>
      <c r="C4" s="62" t="s">
        <v>393</v>
      </c>
      <c r="D4" s="59" t="b">
        <f>TRUE</f>
        <v>1</v>
      </c>
      <c r="E4" s="59"/>
      <c r="F4" s="53" t="s">
        <v>254</v>
      </c>
      <c r="G4" s="7" t="b">
        <v>1</v>
      </c>
      <c r="H4" s="30"/>
      <c r="I4" s="30"/>
      <c r="J4" s="30"/>
      <c r="K4" s="30"/>
      <c r="L4" s="59"/>
      <c r="M4" s="30"/>
      <c r="N4" s="7" t="b">
        <v>1</v>
      </c>
      <c r="O4" s="30"/>
      <c r="P4" s="8" t="s">
        <v>359</v>
      </c>
      <c r="Q4" s="30"/>
      <c r="R4" s="64"/>
      <c r="T4"/>
    </row>
    <row r="5" spans="1:20" ht="24" x14ac:dyDescent="0.4">
      <c r="A5" s="57">
        <v>4</v>
      </c>
      <c r="B5" s="26" t="s">
        <v>302</v>
      </c>
      <c r="C5" s="8" t="s">
        <v>427</v>
      </c>
      <c r="D5" s="7" t="b">
        <v>0</v>
      </c>
      <c r="E5" s="7"/>
      <c r="F5" s="53" t="str">
        <f>CONCATENATE("ค่าเบี้ยประชุม",C5)</f>
        <v>ค่าเบี้ยประชุมประธานอนุกรรมการ</v>
      </c>
      <c r="G5" s="7" t="b">
        <v>1</v>
      </c>
      <c r="H5" s="26">
        <v>7.2</v>
      </c>
      <c r="I5" s="8"/>
      <c r="J5" s="27"/>
      <c r="K5" s="27"/>
      <c r="L5" s="7" t="b">
        <v>0</v>
      </c>
      <c r="M5" s="7">
        <v>2000</v>
      </c>
      <c r="N5" s="7"/>
      <c r="O5" s="8" t="s">
        <v>2</v>
      </c>
      <c r="P5" s="8" t="s">
        <v>359</v>
      </c>
      <c r="Q5" s="8"/>
      <c r="R5" s="63" t="s">
        <v>396</v>
      </c>
      <c r="T5"/>
    </row>
    <row r="6" spans="1:20" ht="24" x14ac:dyDescent="0.4">
      <c r="A6" s="57">
        <v>5</v>
      </c>
      <c r="B6" s="26" t="s">
        <v>303</v>
      </c>
      <c r="C6" s="8" t="s">
        <v>428</v>
      </c>
      <c r="D6" s="7" t="b">
        <v>0</v>
      </c>
      <c r="E6" s="7"/>
      <c r="F6" s="53" t="str">
        <f>CONCATENATE("ค่าเบี้ยประชุม",C6)</f>
        <v>ค่าเบี้ยประชุมรองประธานอนุกรรมการ</v>
      </c>
      <c r="G6" s="7" t="b">
        <v>1</v>
      </c>
      <c r="H6" s="26">
        <v>7.2</v>
      </c>
      <c r="I6" s="8"/>
      <c r="J6" s="8"/>
      <c r="K6" s="7"/>
      <c r="L6" s="7" t="b">
        <v>1</v>
      </c>
      <c r="M6" s="7">
        <v>1800</v>
      </c>
      <c r="N6" s="7"/>
      <c r="O6" s="8" t="s">
        <v>2</v>
      </c>
      <c r="P6" s="8" t="s">
        <v>359</v>
      </c>
      <c r="Q6" s="8"/>
      <c r="R6" s="63" t="s">
        <v>395</v>
      </c>
      <c r="T6"/>
    </row>
    <row r="7" spans="1:20" ht="24" x14ac:dyDescent="0.4">
      <c r="A7" s="57">
        <v>6</v>
      </c>
      <c r="B7" s="26" t="s">
        <v>304</v>
      </c>
      <c r="C7" s="8" t="s">
        <v>260</v>
      </c>
      <c r="D7" s="7" t="b">
        <v>0</v>
      </c>
      <c r="E7" s="7"/>
      <c r="F7" s="53" t="str">
        <f>CONCATENATE("ค่าเบี้ยประชุม",C7)</f>
        <v>ค่าเบี้ยประชุมอนุกรรมการ</v>
      </c>
      <c r="G7" s="7" t="b">
        <v>1</v>
      </c>
      <c r="H7" s="26">
        <v>7.2</v>
      </c>
      <c r="I7" s="8"/>
      <c r="J7" s="8"/>
      <c r="K7" s="7"/>
      <c r="L7" s="7" t="b">
        <v>1</v>
      </c>
      <c r="M7" s="7">
        <v>1600</v>
      </c>
      <c r="N7" s="7"/>
      <c r="O7" s="8" t="s">
        <v>2</v>
      </c>
      <c r="P7" s="8" t="s">
        <v>359</v>
      </c>
      <c r="Q7" s="8"/>
      <c r="R7" s="63" t="s">
        <v>395</v>
      </c>
      <c r="T7"/>
    </row>
    <row r="8" spans="1:20" ht="24" x14ac:dyDescent="0.4">
      <c r="A8" s="57">
        <v>7</v>
      </c>
      <c r="B8" s="26" t="s">
        <v>414</v>
      </c>
      <c r="C8" s="8" t="s">
        <v>430</v>
      </c>
      <c r="D8" s="7" t="b">
        <v>0</v>
      </c>
      <c r="E8" s="7"/>
      <c r="F8" s="53" t="str">
        <f>CONCATENATE("ค่าเบี้ยประชุม",C8)</f>
        <v>ค่าเบี้ยประชุมอนุกรรมการและเลขานุการ</v>
      </c>
      <c r="G8" s="7" t="b">
        <v>1</v>
      </c>
      <c r="H8" s="26">
        <v>7.2</v>
      </c>
      <c r="I8" s="8"/>
      <c r="J8" s="27"/>
      <c r="K8" s="27"/>
      <c r="L8" s="7" t="b">
        <v>1</v>
      </c>
      <c r="M8" s="7">
        <v>1600</v>
      </c>
      <c r="N8" s="7"/>
      <c r="O8" s="8" t="s">
        <v>2</v>
      </c>
      <c r="P8" s="8" t="s">
        <v>359</v>
      </c>
      <c r="Q8" s="8"/>
      <c r="R8" s="63" t="s">
        <v>394</v>
      </c>
      <c r="T8"/>
    </row>
    <row r="9" spans="1:20" ht="24" x14ac:dyDescent="0.4">
      <c r="A9" s="57">
        <v>8</v>
      </c>
      <c r="B9" s="26" t="s">
        <v>415</v>
      </c>
      <c r="C9" s="8" t="s">
        <v>429</v>
      </c>
      <c r="D9" s="7" t="b">
        <v>0</v>
      </c>
      <c r="E9" s="7"/>
      <c r="F9" s="53" t="str">
        <f>CONCATENATE("ค่าเบี้ยประชุม",C9)</f>
        <v>ค่าเบี้ยประชุมอนุกรรมการและผู้ช่วยเลขานุการ</v>
      </c>
      <c r="G9" s="7" t="b">
        <v>1</v>
      </c>
      <c r="H9" s="26">
        <v>7.2</v>
      </c>
      <c r="I9" s="8"/>
      <c r="J9" s="27"/>
      <c r="K9" s="27"/>
      <c r="L9" s="7" t="b">
        <v>1</v>
      </c>
      <c r="M9" s="7">
        <v>1600</v>
      </c>
      <c r="N9" s="7"/>
      <c r="O9" s="8" t="s">
        <v>2</v>
      </c>
      <c r="P9" s="8" t="s">
        <v>359</v>
      </c>
      <c r="Q9" s="8"/>
      <c r="R9" s="63" t="s">
        <v>394</v>
      </c>
      <c r="T9"/>
    </row>
    <row r="10" spans="1:20" ht="24" x14ac:dyDescent="0.4">
      <c r="A10" s="57">
        <v>9</v>
      </c>
      <c r="B10" s="30">
        <v>7.3</v>
      </c>
      <c r="C10" s="62" t="s">
        <v>29</v>
      </c>
      <c r="D10" s="59" t="b">
        <f>TRUE</f>
        <v>1</v>
      </c>
      <c r="E10" s="59"/>
      <c r="F10" s="58" t="s">
        <v>254</v>
      </c>
      <c r="G10" s="7" t="b">
        <v>1</v>
      </c>
      <c r="H10" s="30"/>
      <c r="I10" s="23"/>
      <c r="J10" s="23"/>
      <c r="K10" s="23"/>
      <c r="L10" s="59"/>
      <c r="M10" s="30"/>
      <c r="N10" s="7" t="b">
        <v>1</v>
      </c>
      <c r="O10" s="30"/>
      <c r="P10" s="23" t="s">
        <v>359</v>
      </c>
      <c r="Q10" s="30"/>
      <c r="R10" s="64"/>
      <c r="T10"/>
    </row>
    <row r="11" spans="1:20" ht="24" x14ac:dyDescent="0.4">
      <c r="A11" s="57">
        <v>10</v>
      </c>
      <c r="B11" s="26" t="s">
        <v>305</v>
      </c>
      <c r="C11" s="8" t="s">
        <v>427</v>
      </c>
      <c r="D11" s="7" t="b">
        <v>0</v>
      </c>
      <c r="E11" s="7"/>
      <c r="F11" s="53" t="str">
        <f>CONCATENATE("ค่าเบี้ยประชุม",C11)</f>
        <v>ค่าเบี้ยประชุมประธานอนุกรรมการ</v>
      </c>
      <c r="G11" s="7" t="b">
        <v>1</v>
      </c>
      <c r="H11" s="26">
        <v>7.3</v>
      </c>
      <c r="I11" s="8"/>
      <c r="J11" s="8"/>
      <c r="K11" s="8"/>
      <c r="L11" s="7" t="b">
        <v>0</v>
      </c>
      <c r="M11" s="7">
        <v>1250</v>
      </c>
      <c r="N11" s="7"/>
      <c r="O11" s="8" t="s">
        <v>2</v>
      </c>
      <c r="P11" s="8" t="s">
        <v>359</v>
      </c>
      <c r="Q11" s="8"/>
      <c r="R11" s="63" t="s">
        <v>344</v>
      </c>
      <c r="T11"/>
    </row>
    <row r="12" spans="1:20" ht="24" x14ac:dyDescent="0.4">
      <c r="A12" s="57">
        <v>11</v>
      </c>
      <c r="B12" s="26" t="s">
        <v>306</v>
      </c>
      <c r="C12" s="8" t="s">
        <v>428</v>
      </c>
      <c r="D12" s="7" t="b">
        <v>0</v>
      </c>
      <c r="E12" s="7"/>
      <c r="F12" s="53" t="str">
        <f t="shared" ref="F12:F15" si="0">CONCATENATE("ค่าเบี้ยประชุม",C12)</f>
        <v>ค่าเบี้ยประชุมรองประธานอนุกรรมการ</v>
      </c>
      <c r="G12" s="7" t="b">
        <v>1</v>
      </c>
      <c r="H12" s="26">
        <v>7.3</v>
      </c>
      <c r="I12" s="8"/>
      <c r="J12" s="27"/>
      <c r="K12" s="8"/>
      <c r="L12" s="7" t="b">
        <v>1</v>
      </c>
      <c r="M12" s="7">
        <v>1125</v>
      </c>
      <c r="N12" s="7"/>
      <c r="O12" s="8" t="s">
        <v>2</v>
      </c>
      <c r="P12" s="8" t="s">
        <v>359</v>
      </c>
      <c r="Q12" s="8"/>
      <c r="R12" s="63" t="s">
        <v>345</v>
      </c>
      <c r="T12"/>
    </row>
    <row r="13" spans="1:20" ht="24" x14ac:dyDescent="0.4">
      <c r="A13" s="57">
        <v>12</v>
      </c>
      <c r="B13" s="26" t="s">
        <v>307</v>
      </c>
      <c r="C13" s="8" t="s">
        <v>260</v>
      </c>
      <c r="D13" s="7" t="b">
        <v>0</v>
      </c>
      <c r="E13" s="7"/>
      <c r="F13" s="53" t="str">
        <f t="shared" si="0"/>
        <v>ค่าเบี้ยประชุมอนุกรรมการ</v>
      </c>
      <c r="G13" s="7" t="b">
        <v>1</v>
      </c>
      <c r="H13" s="26">
        <v>7.3</v>
      </c>
      <c r="I13" s="8"/>
      <c r="J13" s="8"/>
      <c r="K13" s="7"/>
      <c r="L13" s="7" t="b">
        <v>1</v>
      </c>
      <c r="M13" s="7">
        <v>1000</v>
      </c>
      <c r="N13" s="7"/>
      <c r="O13" s="8" t="s">
        <v>2</v>
      </c>
      <c r="P13" s="8" t="s">
        <v>359</v>
      </c>
      <c r="Q13" s="8"/>
      <c r="R13" s="63" t="s">
        <v>343</v>
      </c>
      <c r="T13"/>
    </row>
    <row r="14" spans="1:20" ht="24" x14ac:dyDescent="0.4">
      <c r="A14" s="57">
        <v>13</v>
      </c>
      <c r="B14" s="26" t="s">
        <v>308</v>
      </c>
      <c r="C14" s="8" t="s">
        <v>430</v>
      </c>
      <c r="D14" s="7" t="b">
        <v>0</v>
      </c>
      <c r="E14" s="7"/>
      <c r="F14" s="53" t="str">
        <f t="shared" si="0"/>
        <v>ค่าเบี้ยประชุมอนุกรรมการและเลขานุการ</v>
      </c>
      <c r="G14" s="7" t="b">
        <v>1</v>
      </c>
      <c r="H14" s="26">
        <v>7.3</v>
      </c>
      <c r="I14" s="8"/>
      <c r="J14" s="8"/>
      <c r="K14" s="8"/>
      <c r="L14" s="7" t="b">
        <v>1</v>
      </c>
      <c r="M14" s="7">
        <v>1000</v>
      </c>
      <c r="N14" s="7"/>
      <c r="O14" s="8" t="s">
        <v>2</v>
      </c>
      <c r="P14" s="8" t="s">
        <v>359</v>
      </c>
      <c r="Q14" s="8"/>
      <c r="R14" s="63" t="s">
        <v>341</v>
      </c>
      <c r="T14"/>
    </row>
    <row r="15" spans="1:20" ht="24" x14ac:dyDescent="0.4">
      <c r="A15" s="57">
        <v>14</v>
      </c>
      <c r="B15" s="26" t="s">
        <v>387</v>
      </c>
      <c r="C15" s="8" t="s">
        <v>429</v>
      </c>
      <c r="D15" s="7" t="b">
        <v>0</v>
      </c>
      <c r="E15" s="7"/>
      <c r="F15" s="53" t="str">
        <f t="shared" si="0"/>
        <v>ค่าเบี้ยประชุมอนุกรรมการและผู้ช่วยเลขานุการ</v>
      </c>
      <c r="G15" s="7" t="b">
        <v>1</v>
      </c>
      <c r="H15" s="26">
        <v>7.3</v>
      </c>
      <c r="I15" s="8"/>
      <c r="J15" s="8"/>
      <c r="K15" s="8"/>
      <c r="L15" s="7" t="b">
        <v>1</v>
      </c>
      <c r="M15" s="7">
        <v>1000</v>
      </c>
      <c r="N15" s="7"/>
      <c r="O15" s="8" t="s">
        <v>2</v>
      </c>
      <c r="P15" s="8" t="s">
        <v>359</v>
      </c>
      <c r="Q15" s="8"/>
      <c r="R15" s="63" t="s">
        <v>341</v>
      </c>
      <c r="T15"/>
    </row>
    <row r="16" spans="1:20" customFormat="1" ht="24" x14ac:dyDescent="0.4">
      <c r="A16" s="57">
        <v>15</v>
      </c>
      <c r="B16" s="60">
        <v>9.1</v>
      </c>
      <c r="C16" s="23" t="s">
        <v>248</v>
      </c>
      <c r="D16" s="23" t="b">
        <v>1</v>
      </c>
      <c r="E16" s="23"/>
      <c r="F16" s="8" t="s">
        <v>43</v>
      </c>
      <c r="G16" s="8" t="b">
        <v>1</v>
      </c>
      <c r="H16" s="23"/>
      <c r="I16" s="23" t="b">
        <v>1</v>
      </c>
      <c r="J16" s="23"/>
      <c r="K16" s="23"/>
      <c r="L16" s="23"/>
      <c r="M16" s="23"/>
      <c r="N16" s="7" t="b">
        <v>1</v>
      </c>
      <c r="O16" s="23"/>
      <c r="P16" s="23" t="s">
        <v>360</v>
      </c>
      <c r="Q16" s="23"/>
      <c r="R16" s="12"/>
    </row>
    <row r="17" spans="1:20" customFormat="1" ht="24" x14ac:dyDescent="0.4">
      <c r="A17" s="57">
        <v>16</v>
      </c>
      <c r="B17" s="27" t="s">
        <v>399</v>
      </c>
      <c r="C17" s="8" t="s">
        <v>249</v>
      </c>
      <c r="D17" s="8" t="b">
        <v>1</v>
      </c>
      <c r="E17" s="8"/>
      <c r="F17" s="8"/>
      <c r="G17" s="8"/>
      <c r="H17" s="27">
        <v>9.1</v>
      </c>
      <c r="I17" s="8"/>
      <c r="J17" s="8"/>
      <c r="K17" s="7" t="b">
        <v>1</v>
      </c>
      <c r="L17" s="8"/>
      <c r="M17" s="7"/>
      <c r="N17" s="7"/>
      <c r="O17" s="8"/>
      <c r="P17" s="8" t="s">
        <v>214</v>
      </c>
      <c r="Q17" s="8"/>
      <c r="R17" s="24"/>
    </row>
    <row r="18" spans="1:20" customFormat="1" ht="24" x14ac:dyDescent="0.4">
      <c r="A18" s="57">
        <v>17</v>
      </c>
      <c r="B18" s="27" t="s">
        <v>409</v>
      </c>
      <c r="C18" s="8" t="s">
        <v>43</v>
      </c>
      <c r="D18" s="8" t="b">
        <v>0</v>
      </c>
      <c r="E18" s="8"/>
      <c r="F18" s="8" t="s">
        <v>37</v>
      </c>
      <c r="G18" s="8" t="b">
        <v>1</v>
      </c>
      <c r="H18" s="27" t="s">
        <v>399</v>
      </c>
      <c r="I18" s="8"/>
      <c r="J18" s="27">
        <v>9.1</v>
      </c>
      <c r="K18" s="27"/>
      <c r="L18" s="8"/>
      <c r="M18" s="7">
        <v>35</v>
      </c>
      <c r="N18" s="7"/>
      <c r="O18" s="8" t="s">
        <v>274</v>
      </c>
      <c r="P18" s="8" t="s">
        <v>214</v>
      </c>
      <c r="Q18" s="8"/>
      <c r="R18" s="24" t="s">
        <v>250</v>
      </c>
    </row>
    <row r="19" spans="1:20" customFormat="1" ht="24" x14ac:dyDescent="0.4">
      <c r="A19" s="57">
        <v>18</v>
      </c>
      <c r="B19" s="27" t="s">
        <v>400</v>
      </c>
      <c r="C19" s="8" t="s">
        <v>251</v>
      </c>
      <c r="D19" s="8" t="b">
        <v>1</v>
      </c>
      <c r="E19" s="8"/>
      <c r="F19" s="8"/>
      <c r="G19" s="8"/>
      <c r="H19" s="27">
        <v>9.1</v>
      </c>
      <c r="I19" s="8"/>
      <c r="J19" s="8"/>
      <c r="K19" s="7" t="b">
        <v>1</v>
      </c>
      <c r="L19" s="8"/>
      <c r="M19" s="7"/>
      <c r="N19" s="7"/>
      <c r="O19" s="8"/>
      <c r="P19" s="8" t="s">
        <v>214</v>
      </c>
      <c r="Q19" s="8"/>
      <c r="R19" s="24"/>
    </row>
    <row r="20" spans="1:20" customFormat="1" ht="24" x14ac:dyDescent="0.4">
      <c r="A20" s="57">
        <v>19</v>
      </c>
      <c r="B20" s="27" t="s">
        <v>410</v>
      </c>
      <c r="C20" s="8" t="s">
        <v>43</v>
      </c>
      <c r="D20" s="8" t="b">
        <v>0</v>
      </c>
      <c r="E20" s="8"/>
      <c r="F20" s="8" t="s">
        <v>37</v>
      </c>
      <c r="G20" s="8" t="b">
        <v>1</v>
      </c>
      <c r="H20" s="27" t="s">
        <v>400</v>
      </c>
      <c r="I20" s="8"/>
      <c r="J20" s="27">
        <v>9.1</v>
      </c>
      <c r="K20" s="27"/>
      <c r="L20" s="8"/>
      <c r="M20" s="7">
        <v>50</v>
      </c>
      <c r="N20" s="7"/>
      <c r="O20" s="8" t="s">
        <v>274</v>
      </c>
      <c r="P20" s="8" t="s">
        <v>214</v>
      </c>
      <c r="Q20" s="8"/>
      <c r="R20" s="24" t="s">
        <v>252</v>
      </c>
    </row>
    <row r="21" spans="1:20" customFormat="1" ht="24" x14ac:dyDescent="0.4">
      <c r="A21" s="57">
        <v>20</v>
      </c>
      <c r="B21" s="27" t="s">
        <v>401</v>
      </c>
      <c r="C21" s="8" t="s">
        <v>253</v>
      </c>
      <c r="D21" s="8" t="b">
        <v>1</v>
      </c>
      <c r="E21" s="8"/>
      <c r="F21" s="8"/>
      <c r="G21" s="8" t="b">
        <v>1</v>
      </c>
      <c r="H21" s="27"/>
      <c r="I21" s="8"/>
      <c r="J21" s="27"/>
      <c r="K21" s="27"/>
      <c r="L21" s="8"/>
      <c r="M21" s="7"/>
      <c r="N21" s="8" t="b">
        <v>1</v>
      </c>
      <c r="O21" s="8"/>
      <c r="P21" s="8"/>
      <c r="Q21" s="8"/>
      <c r="R21" s="24"/>
    </row>
    <row r="22" spans="1:20" customFormat="1" ht="24" x14ac:dyDescent="0.4">
      <c r="A22" s="57">
        <v>21</v>
      </c>
      <c r="B22" s="27" t="s">
        <v>425</v>
      </c>
      <c r="C22" s="8" t="s">
        <v>253</v>
      </c>
      <c r="D22" s="8" t="b">
        <v>0</v>
      </c>
      <c r="E22" s="8"/>
      <c r="F22" s="8"/>
      <c r="G22" s="8" t="b">
        <v>1</v>
      </c>
      <c r="H22" s="27" t="s">
        <v>401</v>
      </c>
      <c r="I22" s="8"/>
      <c r="J22" s="27"/>
      <c r="K22" s="27"/>
      <c r="L22" s="8"/>
      <c r="M22" s="7">
        <v>120</v>
      </c>
      <c r="N22" s="7"/>
      <c r="O22" s="8" t="s">
        <v>274</v>
      </c>
      <c r="P22" s="8" t="s">
        <v>213</v>
      </c>
      <c r="Q22" s="8"/>
      <c r="R22" s="24" t="s">
        <v>273</v>
      </c>
    </row>
    <row r="23" spans="1:20" ht="24" x14ac:dyDescent="0.4">
      <c r="A23" s="57">
        <v>22</v>
      </c>
      <c r="B23" s="60">
        <v>9.1999999999999993</v>
      </c>
      <c r="C23" s="62" t="s">
        <v>94</v>
      </c>
      <c r="D23" s="59" t="b">
        <v>1</v>
      </c>
      <c r="E23" s="59"/>
      <c r="F23" s="58"/>
      <c r="G23" s="7" t="b">
        <v>1</v>
      </c>
      <c r="H23" s="30"/>
      <c r="I23" s="23"/>
      <c r="J23" s="23"/>
      <c r="K23" s="23"/>
      <c r="L23" s="59"/>
      <c r="M23" s="30"/>
      <c r="N23" s="7" t="b">
        <v>1</v>
      </c>
      <c r="O23" s="30"/>
      <c r="P23" s="23" t="s">
        <v>353</v>
      </c>
      <c r="Q23" s="30"/>
      <c r="R23" s="64"/>
      <c r="T23"/>
    </row>
    <row r="24" spans="1:20" ht="24" x14ac:dyDescent="0.4">
      <c r="A24" s="57">
        <v>23</v>
      </c>
      <c r="B24" s="27" t="s">
        <v>402</v>
      </c>
      <c r="C24" s="8" t="s">
        <v>276</v>
      </c>
      <c r="D24" s="7" t="b">
        <v>0</v>
      </c>
      <c r="E24" s="7"/>
      <c r="F24" s="53"/>
      <c r="G24" s="7" t="b">
        <v>1</v>
      </c>
      <c r="H24" s="8">
        <v>9.1999999999999993</v>
      </c>
      <c r="I24" s="8"/>
      <c r="J24" s="8"/>
      <c r="K24" s="8"/>
      <c r="L24" s="8" t="b">
        <v>1</v>
      </c>
      <c r="M24" s="7"/>
      <c r="N24" s="7"/>
      <c r="O24" s="8" t="s">
        <v>2</v>
      </c>
      <c r="P24" s="8" t="s">
        <v>352</v>
      </c>
      <c r="Q24" s="8"/>
      <c r="R24" s="63"/>
      <c r="T24"/>
    </row>
    <row r="25" spans="1:20" ht="24" x14ac:dyDescent="0.4">
      <c r="A25" s="57">
        <v>24</v>
      </c>
      <c r="B25" s="27" t="s">
        <v>403</v>
      </c>
      <c r="C25" s="8" t="s">
        <v>277</v>
      </c>
      <c r="D25" s="7" t="b">
        <v>0</v>
      </c>
      <c r="E25" s="7"/>
      <c r="F25" s="53"/>
      <c r="G25" s="7" t="b">
        <v>1</v>
      </c>
      <c r="H25" s="8">
        <v>9.1999999999999993</v>
      </c>
      <c r="I25" s="8"/>
      <c r="J25" s="8"/>
      <c r="K25" s="8"/>
      <c r="L25" s="8" t="b">
        <v>1</v>
      </c>
      <c r="M25" s="7"/>
      <c r="N25" s="7"/>
      <c r="O25" s="8" t="s">
        <v>377</v>
      </c>
      <c r="P25" s="8" t="s">
        <v>355</v>
      </c>
      <c r="Q25" s="8"/>
      <c r="R25" s="66" t="s">
        <v>374</v>
      </c>
      <c r="T25"/>
    </row>
    <row r="26" spans="1:20" ht="24" x14ac:dyDescent="0.4">
      <c r="A26" s="57">
        <v>25</v>
      </c>
      <c r="B26" s="27" t="s">
        <v>404</v>
      </c>
      <c r="C26" s="8" t="s">
        <v>422</v>
      </c>
      <c r="D26" s="7" t="b">
        <v>0</v>
      </c>
      <c r="E26" s="7"/>
      <c r="F26" s="53"/>
      <c r="G26" s="7" t="b">
        <v>1</v>
      </c>
      <c r="H26" s="8">
        <v>9.1999999999999993</v>
      </c>
      <c r="I26" s="8"/>
      <c r="J26" s="8"/>
      <c r="K26" s="8"/>
      <c r="L26" s="8" t="b">
        <v>1</v>
      </c>
      <c r="M26" s="7"/>
      <c r="N26" s="7"/>
      <c r="O26" s="8" t="s">
        <v>2</v>
      </c>
      <c r="P26" s="8" t="s">
        <v>353</v>
      </c>
      <c r="Q26" s="8"/>
      <c r="R26" s="63"/>
      <c r="T26"/>
    </row>
    <row r="27" spans="1:20" ht="24" x14ac:dyDescent="0.4">
      <c r="A27" s="57">
        <v>26</v>
      </c>
      <c r="B27" s="27" t="s">
        <v>405</v>
      </c>
      <c r="C27" s="8" t="s">
        <v>423</v>
      </c>
      <c r="D27" s="7" t="b">
        <v>0</v>
      </c>
      <c r="E27" s="7"/>
      <c r="F27" s="53"/>
      <c r="G27" s="7" t="b">
        <v>1</v>
      </c>
      <c r="H27" s="8">
        <v>9.1999999999999993</v>
      </c>
      <c r="I27" s="8"/>
      <c r="J27" s="8"/>
      <c r="K27" s="8"/>
      <c r="L27" s="8" t="b">
        <v>1</v>
      </c>
      <c r="M27" s="7"/>
      <c r="N27" s="7"/>
      <c r="O27" s="8" t="s">
        <v>2</v>
      </c>
      <c r="P27" s="8" t="s">
        <v>354</v>
      </c>
      <c r="Q27" s="8"/>
      <c r="R27" s="63"/>
      <c r="T27"/>
    </row>
    <row r="28" spans="1:20" ht="24" x14ac:dyDescent="0.4">
      <c r="A28" s="57">
        <v>27</v>
      </c>
      <c r="B28" s="27" t="s">
        <v>406</v>
      </c>
      <c r="C28" s="8" t="s">
        <v>378</v>
      </c>
      <c r="D28" s="7" t="b">
        <v>0</v>
      </c>
      <c r="E28" s="7"/>
      <c r="F28" s="53"/>
      <c r="G28" s="7" t="b">
        <v>1</v>
      </c>
      <c r="H28" s="8">
        <v>9.1999999999999993</v>
      </c>
      <c r="I28" s="8"/>
      <c r="J28" s="8"/>
      <c r="K28" s="8"/>
      <c r="L28" s="8" t="b">
        <v>1</v>
      </c>
      <c r="M28" s="7"/>
      <c r="N28" s="7"/>
      <c r="O28" s="8" t="s">
        <v>2</v>
      </c>
      <c r="P28" s="8" t="s">
        <v>380</v>
      </c>
      <c r="Q28" s="8"/>
      <c r="R28" s="63"/>
      <c r="T28"/>
    </row>
    <row r="29" spans="1:20" ht="24" x14ac:dyDescent="0.4">
      <c r="A29" s="57">
        <v>28</v>
      </c>
      <c r="B29" s="27" t="s">
        <v>407</v>
      </c>
      <c r="C29" s="8" t="s">
        <v>379</v>
      </c>
      <c r="D29" s="7" t="b">
        <v>0</v>
      </c>
      <c r="E29" s="7"/>
      <c r="F29" s="53"/>
      <c r="G29" s="7" t="b">
        <v>1</v>
      </c>
      <c r="H29" s="8">
        <v>9.1999999999999993</v>
      </c>
      <c r="I29" s="8"/>
      <c r="J29" s="8"/>
      <c r="K29" s="8"/>
      <c r="L29" s="8" t="b">
        <v>1</v>
      </c>
      <c r="M29" s="7"/>
      <c r="N29" s="7"/>
      <c r="O29" s="8" t="s">
        <v>373</v>
      </c>
      <c r="P29" s="8" t="s">
        <v>355</v>
      </c>
      <c r="Q29" s="8"/>
      <c r="R29" s="63"/>
      <c r="T29"/>
    </row>
    <row r="30" spans="1:20" ht="24" x14ac:dyDescent="0.4">
      <c r="A30" s="57">
        <v>29</v>
      </c>
      <c r="B30" s="27" t="s">
        <v>408</v>
      </c>
      <c r="C30" s="8" t="s">
        <v>350</v>
      </c>
      <c r="D30" s="7" t="b">
        <v>0</v>
      </c>
      <c r="E30" s="7"/>
      <c r="F30" s="53"/>
      <c r="G30" s="7" t="b">
        <v>1</v>
      </c>
      <c r="H30" s="8">
        <v>9.1999999999999993</v>
      </c>
      <c r="I30" s="8"/>
      <c r="J30" s="8"/>
      <c r="K30" s="8"/>
      <c r="L30" s="8" t="b">
        <v>1</v>
      </c>
      <c r="M30" s="7"/>
      <c r="N30" s="7"/>
      <c r="O30" s="8" t="s">
        <v>373</v>
      </c>
      <c r="P30" s="8" t="s">
        <v>354</v>
      </c>
      <c r="Q30" s="8" t="s">
        <v>309</v>
      </c>
      <c r="R30" s="63"/>
      <c r="T30"/>
    </row>
    <row r="31" spans="1:20" customFormat="1" ht="24" x14ac:dyDescent="0.4">
      <c r="A31" s="57">
        <v>30</v>
      </c>
      <c r="B31" s="60">
        <v>9.3000000000000007</v>
      </c>
      <c r="C31" s="23" t="s">
        <v>235</v>
      </c>
      <c r="D31" s="23" t="b">
        <v>1</v>
      </c>
      <c r="E31" s="23"/>
      <c r="F31" s="65"/>
      <c r="G31" s="23"/>
      <c r="H31" s="23"/>
      <c r="I31" s="23"/>
      <c r="J31" s="23"/>
      <c r="K31" s="23"/>
      <c r="L31" s="23"/>
      <c r="M31" s="23"/>
      <c r="N31" s="23"/>
      <c r="O31" s="23"/>
      <c r="P31" s="23" t="s">
        <v>361</v>
      </c>
      <c r="Q31" s="23"/>
      <c r="R31" s="12"/>
    </row>
    <row r="32" spans="1:20" customFormat="1" ht="24" x14ac:dyDescent="0.4">
      <c r="A32" s="57">
        <v>31</v>
      </c>
      <c r="B32" s="27" t="s">
        <v>411</v>
      </c>
      <c r="C32" s="8" t="s">
        <v>278</v>
      </c>
      <c r="D32" s="8" t="b">
        <v>0</v>
      </c>
      <c r="E32" s="8" t="b">
        <v>1</v>
      </c>
      <c r="F32" s="53" t="b">
        <v>1</v>
      </c>
      <c r="G32" s="8" t="b">
        <v>1</v>
      </c>
      <c r="H32" s="27">
        <v>9.3000000000000007</v>
      </c>
      <c r="I32" s="8"/>
      <c r="J32" s="8"/>
      <c r="K32" s="27"/>
      <c r="L32" s="8" t="b">
        <v>1</v>
      </c>
      <c r="M32" s="7"/>
      <c r="N32" s="7"/>
      <c r="O32" s="8" t="s">
        <v>373</v>
      </c>
      <c r="P32" s="8"/>
      <c r="Q32" s="8" t="s">
        <v>309</v>
      </c>
      <c r="R32" s="24"/>
    </row>
  </sheetData>
  <phoneticPr fontId="5" type="noConversion"/>
  <conditionalFormatting sqref="G1">
    <cfRule type="cellIs" dxfId="20" priority="21" operator="equal">
      <formula>TRUE</formula>
    </cfRule>
  </conditionalFormatting>
  <conditionalFormatting sqref="D2:E15 D23:E31 D1 D33:E1048576 D32">
    <cfRule type="cellIs" dxfId="19" priority="16" operator="equal">
      <formula>TRUE</formula>
    </cfRule>
  </conditionalFormatting>
  <conditionalFormatting sqref="G1 G23:G1048576 G3 G5:G9 G11:G15">
    <cfRule type="cellIs" dxfId="18" priority="15" operator="equal">
      <formula>TRUE</formula>
    </cfRule>
  </conditionalFormatting>
  <conditionalFormatting sqref="N23">
    <cfRule type="cellIs" dxfId="17" priority="14" operator="equal">
      <formula>TRUE</formula>
    </cfRule>
  </conditionalFormatting>
  <conditionalFormatting sqref="E1">
    <cfRule type="cellIs" dxfId="16" priority="12" operator="equal">
      <formula>TRUE</formula>
    </cfRule>
  </conditionalFormatting>
  <conditionalFormatting sqref="E32">
    <cfRule type="cellIs" dxfId="15" priority="11" operator="equal">
      <formula>TRUE</formula>
    </cfRule>
  </conditionalFormatting>
  <conditionalFormatting sqref="D18:G18 D20:G20 D16:E17 D19:E19 G19 G16:G17">
    <cfRule type="cellIs" dxfId="14" priority="10" operator="equal">
      <formula>TRUE</formula>
    </cfRule>
  </conditionalFormatting>
  <conditionalFormatting sqref="G2">
    <cfRule type="cellIs" dxfId="13" priority="9" operator="equal">
      <formula>TRUE</formula>
    </cfRule>
  </conditionalFormatting>
  <conditionalFormatting sqref="N2">
    <cfRule type="cellIs" dxfId="12" priority="8" operator="equal">
      <formula>TRUE</formula>
    </cfRule>
  </conditionalFormatting>
  <conditionalFormatting sqref="N4">
    <cfRule type="cellIs" dxfId="11" priority="7" operator="equal">
      <formula>TRUE</formula>
    </cfRule>
  </conditionalFormatting>
  <conditionalFormatting sqref="G4">
    <cfRule type="cellIs" dxfId="10" priority="6" operator="equal">
      <formula>TRUE</formula>
    </cfRule>
  </conditionalFormatting>
  <conditionalFormatting sqref="N10">
    <cfRule type="cellIs" dxfId="9" priority="5" operator="equal">
      <formula>TRUE</formula>
    </cfRule>
  </conditionalFormatting>
  <conditionalFormatting sqref="G10">
    <cfRule type="cellIs" dxfId="8" priority="4" operator="equal">
      <formula>TRUE</formula>
    </cfRule>
  </conditionalFormatting>
  <conditionalFormatting sqref="N16">
    <cfRule type="cellIs" dxfId="7" priority="3" operator="equal">
      <formula>TRUE</formula>
    </cfRule>
  </conditionalFormatting>
  <conditionalFormatting sqref="D21:G22">
    <cfRule type="cellIs" dxfId="6" priority="2" operator="equal">
      <formula>TRUE</formula>
    </cfRule>
  </conditionalFormatting>
  <conditionalFormatting sqref="N21">
    <cfRule type="cellIs" dxfId="5" priority="1" operator="equal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BB85-C51A-A64C-9A98-7D8B4F7FDC99}">
  <dimension ref="A1:K27"/>
  <sheetViews>
    <sheetView workbookViewId="0">
      <selection activeCell="D7" sqref="D7"/>
    </sheetView>
  </sheetViews>
  <sheetFormatPr baseColWidth="10" defaultRowHeight="16" x14ac:dyDescent="0.2"/>
  <cols>
    <col min="2" max="2" width="10.83203125" style="29"/>
    <col min="3" max="3" width="26.83203125" bestFit="1" customWidth="1"/>
    <col min="4" max="4" width="15.1640625" bestFit="1" customWidth="1"/>
    <col min="5" max="5" width="15.1640625" customWidth="1"/>
    <col min="7" max="7" width="6.6640625" bestFit="1" customWidth="1"/>
    <col min="8" max="8" width="5.6640625" bestFit="1" customWidth="1"/>
    <col min="9" max="9" width="4.33203125" bestFit="1" customWidth="1"/>
    <col min="10" max="10" width="7.5" bestFit="1" customWidth="1"/>
  </cols>
  <sheetData>
    <row r="1" spans="1:11" ht="24" x14ac:dyDescent="0.4">
      <c r="A1" t="s">
        <v>162</v>
      </c>
      <c r="B1" s="29" t="s">
        <v>163</v>
      </c>
      <c r="C1" t="s">
        <v>0</v>
      </c>
      <c r="D1" s="33" t="s">
        <v>188</v>
      </c>
      <c r="E1" s="33" t="s">
        <v>189</v>
      </c>
      <c r="F1" t="s">
        <v>1</v>
      </c>
      <c r="G1" t="s">
        <v>2</v>
      </c>
      <c r="H1" t="s">
        <v>3</v>
      </c>
      <c r="I1" t="s">
        <v>209</v>
      </c>
      <c r="J1" t="s">
        <v>165</v>
      </c>
      <c r="K1" t="s">
        <v>164</v>
      </c>
    </row>
    <row r="2" spans="1:11" ht="24" x14ac:dyDescent="0.4">
      <c r="A2">
        <v>1</v>
      </c>
      <c r="B2" s="30">
        <v>3.1</v>
      </c>
      <c r="C2" s="23" t="s">
        <v>174</v>
      </c>
      <c r="D2" s="23" t="b">
        <f>TRUE</f>
        <v>1</v>
      </c>
      <c r="E2" s="23"/>
      <c r="F2" s="23"/>
      <c r="G2" s="23"/>
      <c r="H2" s="23"/>
      <c r="I2" s="23"/>
      <c r="J2" s="23"/>
      <c r="K2" s="23"/>
    </row>
    <row r="3" spans="1:11" ht="24" x14ac:dyDescent="0.4">
      <c r="A3">
        <v>2</v>
      </c>
      <c r="B3" s="27" t="s">
        <v>99</v>
      </c>
      <c r="C3" s="8" t="s">
        <v>175</v>
      </c>
      <c r="D3" s="23" t="b">
        <f>FALSE</f>
        <v>0</v>
      </c>
      <c r="E3" s="30">
        <v>3.1</v>
      </c>
      <c r="F3" s="7">
        <v>3100</v>
      </c>
      <c r="G3" s="8"/>
      <c r="H3" s="8"/>
      <c r="I3" s="8"/>
      <c r="J3" s="8"/>
      <c r="K3" s="16">
        <v>3100</v>
      </c>
    </row>
    <row r="4" spans="1:11" ht="24" x14ac:dyDescent="0.4">
      <c r="A4">
        <v>3</v>
      </c>
      <c r="B4" s="27" t="s">
        <v>100</v>
      </c>
      <c r="C4" s="8" t="s">
        <v>133</v>
      </c>
      <c r="D4" s="23" t="b">
        <v>0</v>
      </c>
      <c r="E4" s="30">
        <v>3.1</v>
      </c>
      <c r="F4" s="7">
        <v>2100</v>
      </c>
      <c r="G4" s="8"/>
      <c r="H4" s="8"/>
      <c r="I4" s="8"/>
      <c r="J4" s="8"/>
      <c r="K4" s="16">
        <v>2100</v>
      </c>
    </row>
    <row r="5" spans="1:11" ht="24" x14ac:dyDescent="0.4">
      <c r="A5">
        <v>4</v>
      </c>
      <c r="B5" s="30">
        <v>3.2</v>
      </c>
      <c r="C5" s="23" t="s">
        <v>176</v>
      </c>
      <c r="D5" s="23" t="b">
        <v>1</v>
      </c>
      <c r="E5" s="23"/>
      <c r="F5" s="7"/>
      <c r="G5" s="23"/>
      <c r="H5" s="23"/>
      <c r="I5" s="23"/>
      <c r="J5" s="23"/>
      <c r="K5" s="23"/>
    </row>
    <row r="6" spans="1:11" ht="24" x14ac:dyDescent="0.4">
      <c r="A6">
        <v>5</v>
      </c>
      <c r="B6" s="27" t="s">
        <v>101</v>
      </c>
      <c r="C6" s="8" t="s">
        <v>186</v>
      </c>
      <c r="D6" s="23" t="b">
        <v>0</v>
      </c>
      <c r="E6" s="30">
        <v>3.2</v>
      </c>
      <c r="F6" s="7"/>
      <c r="G6" s="8"/>
      <c r="H6" s="8"/>
      <c r="I6" s="8" t="s">
        <v>170</v>
      </c>
      <c r="J6" s="7" t="s">
        <v>169</v>
      </c>
      <c r="K6" s="7" t="s">
        <v>42</v>
      </c>
    </row>
    <row r="7" spans="1:11" ht="24" x14ac:dyDescent="0.4">
      <c r="A7">
        <v>6</v>
      </c>
      <c r="B7" s="26" t="s">
        <v>104</v>
      </c>
      <c r="C7" s="8" t="s">
        <v>138</v>
      </c>
      <c r="D7" s="23" t="b">
        <v>0</v>
      </c>
      <c r="E7" s="30">
        <v>3.2</v>
      </c>
      <c r="F7" s="7"/>
      <c r="G7" s="8"/>
      <c r="H7" s="8"/>
      <c r="I7" s="8"/>
      <c r="J7" s="8"/>
      <c r="K7" s="7" t="s">
        <v>24</v>
      </c>
    </row>
    <row r="8" spans="1:11" ht="24" x14ac:dyDescent="0.4">
      <c r="A8">
        <v>7</v>
      </c>
      <c r="B8" s="26" t="s">
        <v>105</v>
      </c>
      <c r="C8" s="8" t="s">
        <v>199</v>
      </c>
      <c r="D8" s="23" t="b">
        <v>0</v>
      </c>
      <c r="E8" s="30">
        <v>3.2</v>
      </c>
      <c r="F8" s="7"/>
      <c r="G8" s="8"/>
      <c r="H8" s="8"/>
      <c r="I8" s="8"/>
      <c r="J8" s="8"/>
      <c r="K8" s="7" t="s">
        <v>24</v>
      </c>
    </row>
    <row r="9" spans="1:11" ht="24" x14ac:dyDescent="0.4">
      <c r="A9">
        <v>8</v>
      </c>
      <c r="B9" s="30">
        <v>3.3</v>
      </c>
      <c r="C9" s="23" t="s">
        <v>94</v>
      </c>
      <c r="D9" s="23" t="b">
        <v>0</v>
      </c>
      <c r="E9" s="23"/>
      <c r="F9" s="7"/>
      <c r="G9" s="23"/>
      <c r="H9" s="23"/>
      <c r="I9" s="23"/>
      <c r="J9" s="23"/>
      <c r="K9" s="15" t="s">
        <v>24</v>
      </c>
    </row>
    <row r="10" spans="1:11" ht="24" x14ac:dyDescent="0.4">
      <c r="A10">
        <v>9</v>
      </c>
      <c r="B10" s="30">
        <v>3.4</v>
      </c>
      <c r="C10" s="23" t="s">
        <v>177</v>
      </c>
      <c r="D10" s="23" t="b">
        <f>TRUE</f>
        <v>1</v>
      </c>
      <c r="E10" s="23"/>
      <c r="F10" s="7"/>
      <c r="G10" s="23"/>
      <c r="H10" s="23"/>
      <c r="I10" s="23"/>
      <c r="J10" s="23"/>
      <c r="K10" s="23"/>
    </row>
    <row r="11" spans="1:11" ht="24" x14ac:dyDescent="0.4">
      <c r="A11">
        <v>10</v>
      </c>
      <c r="B11" s="26" t="s">
        <v>106</v>
      </c>
      <c r="C11" s="8" t="s">
        <v>175</v>
      </c>
      <c r="D11" s="23" t="b">
        <f>TRUE</f>
        <v>1</v>
      </c>
      <c r="E11" s="23"/>
      <c r="F11" s="7"/>
      <c r="G11" s="8"/>
      <c r="H11" s="8"/>
      <c r="I11" s="8"/>
      <c r="J11" s="8"/>
      <c r="K11" s="8"/>
    </row>
    <row r="12" spans="1:11" ht="24" x14ac:dyDescent="0.4">
      <c r="A12">
        <v>11</v>
      </c>
      <c r="B12" s="27" t="s">
        <v>107</v>
      </c>
      <c r="C12" s="8" t="s">
        <v>178</v>
      </c>
      <c r="D12" s="23" t="b">
        <v>0</v>
      </c>
      <c r="E12" s="30">
        <v>3.4</v>
      </c>
      <c r="F12" s="7"/>
      <c r="G12" s="8"/>
      <c r="H12" s="8"/>
      <c r="I12" s="8"/>
      <c r="J12" s="8"/>
      <c r="K12" s="8"/>
    </row>
    <row r="13" spans="1:11" ht="24" x14ac:dyDescent="0.4">
      <c r="A13">
        <v>12</v>
      </c>
      <c r="B13" s="27" t="s">
        <v>108</v>
      </c>
      <c r="C13" s="8" t="s">
        <v>143</v>
      </c>
      <c r="D13" s="23" t="b">
        <v>0</v>
      </c>
      <c r="E13" s="30">
        <v>3.4</v>
      </c>
      <c r="F13" s="7"/>
      <c r="G13" s="8"/>
      <c r="H13" s="8"/>
      <c r="I13" s="8"/>
      <c r="J13" s="8"/>
      <c r="K13" s="8"/>
    </row>
    <row r="14" spans="1:11" ht="24" x14ac:dyDescent="0.4">
      <c r="A14">
        <v>13</v>
      </c>
      <c r="B14" s="27" t="s">
        <v>109</v>
      </c>
      <c r="C14" s="8" t="s">
        <v>179</v>
      </c>
      <c r="D14" s="23" t="b">
        <v>0</v>
      </c>
      <c r="E14" s="30">
        <v>3.4</v>
      </c>
      <c r="F14" s="7"/>
      <c r="G14" s="8"/>
      <c r="H14" s="8"/>
      <c r="I14" s="8"/>
      <c r="J14" s="8"/>
      <c r="K14" s="8"/>
    </row>
    <row r="15" spans="1:11" ht="24" x14ac:dyDescent="0.4">
      <c r="A15">
        <v>14</v>
      </c>
      <c r="B15" s="26" t="s">
        <v>115</v>
      </c>
      <c r="C15" s="8" t="s">
        <v>133</v>
      </c>
      <c r="D15" s="23" t="b">
        <f>TRUE</f>
        <v>1</v>
      </c>
      <c r="E15" s="23"/>
      <c r="F15" s="7"/>
      <c r="G15" s="8"/>
      <c r="H15" s="8"/>
      <c r="I15" s="8"/>
      <c r="J15" s="8"/>
      <c r="K15" s="8"/>
    </row>
    <row r="16" spans="1:11" ht="24" x14ac:dyDescent="0.4">
      <c r="A16">
        <v>15</v>
      </c>
      <c r="B16" s="27" t="s">
        <v>116</v>
      </c>
      <c r="C16" s="8" t="s">
        <v>178</v>
      </c>
      <c r="D16" s="23" t="b">
        <v>0</v>
      </c>
      <c r="E16" s="30">
        <v>3.4</v>
      </c>
      <c r="F16" s="7"/>
      <c r="G16" s="8"/>
      <c r="H16" s="8"/>
      <c r="I16" s="8"/>
      <c r="J16" s="8"/>
      <c r="K16" s="8"/>
    </row>
    <row r="17" spans="1:11" ht="24" x14ac:dyDescent="0.4">
      <c r="A17">
        <v>16</v>
      </c>
      <c r="B17" s="27" t="s">
        <v>117</v>
      </c>
      <c r="C17" s="8" t="s">
        <v>143</v>
      </c>
      <c r="D17" s="23" t="b">
        <v>0</v>
      </c>
      <c r="E17" s="30">
        <v>3.4</v>
      </c>
      <c r="F17" s="7"/>
      <c r="G17" s="8"/>
      <c r="H17" s="8"/>
      <c r="I17" s="8"/>
      <c r="J17" s="8"/>
      <c r="K17" s="8"/>
    </row>
    <row r="18" spans="1:11" ht="24" x14ac:dyDescent="0.4">
      <c r="A18">
        <v>17</v>
      </c>
      <c r="B18" s="27" t="s">
        <v>118</v>
      </c>
      <c r="C18" s="8" t="s">
        <v>179</v>
      </c>
      <c r="D18" s="23" t="b">
        <v>0</v>
      </c>
      <c r="E18" s="30">
        <v>3.4</v>
      </c>
      <c r="F18" s="7"/>
      <c r="G18" s="8"/>
      <c r="H18" s="8"/>
      <c r="I18" s="8"/>
      <c r="J18" s="8"/>
      <c r="K18" s="8"/>
    </row>
    <row r="19" spans="1:11" ht="24" x14ac:dyDescent="0.4">
      <c r="A19">
        <v>18</v>
      </c>
      <c r="B19" s="30">
        <v>3.5</v>
      </c>
      <c r="C19" s="23" t="s">
        <v>180</v>
      </c>
      <c r="D19" s="10" t="b">
        <f>TRUE</f>
        <v>1</v>
      </c>
      <c r="E19" s="10"/>
      <c r="F19" s="7"/>
      <c r="G19" s="23"/>
      <c r="H19" s="23"/>
      <c r="I19" s="23"/>
      <c r="J19" s="23"/>
      <c r="K19" s="23"/>
    </row>
    <row r="20" spans="1:11" ht="24" x14ac:dyDescent="0.4">
      <c r="A20">
        <v>19</v>
      </c>
      <c r="B20" s="27" t="s">
        <v>127</v>
      </c>
      <c r="C20" s="8" t="s">
        <v>181</v>
      </c>
      <c r="D20" s="23" t="b">
        <v>0</v>
      </c>
      <c r="E20" s="30">
        <v>3.5</v>
      </c>
      <c r="F20" s="7">
        <v>7500</v>
      </c>
      <c r="G20" s="8"/>
      <c r="H20" s="8"/>
      <c r="I20" s="8"/>
      <c r="J20" s="8"/>
      <c r="K20" s="24">
        <v>7500</v>
      </c>
    </row>
    <row r="21" spans="1:11" ht="24" x14ac:dyDescent="0.4">
      <c r="A21">
        <v>20</v>
      </c>
      <c r="B21" s="27" t="s">
        <v>128</v>
      </c>
      <c r="C21" s="8" t="s">
        <v>182</v>
      </c>
      <c r="D21" s="23" t="b">
        <v>0</v>
      </c>
      <c r="E21" s="30">
        <v>3.5</v>
      </c>
      <c r="F21" s="7">
        <v>9000</v>
      </c>
      <c r="G21" s="8"/>
      <c r="H21" s="8"/>
      <c r="I21" s="8"/>
      <c r="J21" s="8"/>
      <c r="K21" s="24">
        <v>9000</v>
      </c>
    </row>
    <row r="22" spans="1:11" ht="24" x14ac:dyDescent="0.4">
      <c r="A22">
        <v>21</v>
      </c>
      <c r="B22" s="30">
        <v>3.6</v>
      </c>
      <c r="C22" s="23" t="s">
        <v>183</v>
      </c>
      <c r="D22" s="10" t="b">
        <f>TRUE</f>
        <v>1</v>
      </c>
      <c r="E22" s="10"/>
      <c r="F22" s="7"/>
      <c r="G22" s="23"/>
      <c r="H22" s="23"/>
      <c r="I22" s="23"/>
      <c r="J22" s="23"/>
      <c r="K22" s="23"/>
    </row>
    <row r="23" spans="1:11" ht="24" x14ac:dyDescent="0.4">
      <c r="A23">
        <v>22</v>
      </c>
      <c r="B23" s="27" t="s">
        <v>129</v>
      </c>
      <c r="C23" s="8" t="s">
        <v>157</v>
      </c>
      <c r="D23" s="23" t="b">
        <v>0</v>
      </c>
      <c r="E23" s="30">
        <v>3.6</v>
      </c>
      <c r="F23" s="7">
        <v>67000</v>
      </c>
      <c r="G23" s="8"/>
      <c r="H23" s="8"/>
      <c r="I23" s="8"/>
      <c r="J23" s="8"/>
      <c r="K23" s="24">
        <v>67000</v>
      </c>
    </row>
    <row r="24" spans="1:11" ht="24" x14ac:dyDescent="0.4">
      <c r="A24">
        <v>23</v>
      </c>
      <c r="B24" s="27" t="s">
        <v>130</v>
      </c>
      <c r="C24" s="8" t="s">
        <v>158</v>
      </c>
      <c r="D24" s="23" t="b">
        <v>0</v>
      </c>
      <c r="E24" s="30">
        <v>3.6</v>
      </c>
      <c r="F24" s="7">
        <v>100000</v>
      </c>
      <c r="G24" s="8"/>
      <c r="H24" s="8"/>
      <c r="I24" s="8"/>
      <c r="J24" s="8"/>
      <c r="K24" s="24">
        <v>100000</v>
      </c>
    </row>
    <row r="25" spans="1:11" ht="24" x14ac:dyDescent="0.4">
      <c r="A25">
        <v>24</v>
      </c>
      <c r="B25" s="30">
        <v>3.7</v>
      </c>
      <c r="C25" s="23" t="s">
        <v>187</v>
      </c>
      <c r="D25" s="23" t="b">
        <v>0</v>
      </c>
      <c r="E25" s="23"/>
      <c r="F25" s="7"/>
      <c r="G25" s="23"/>
      <c r="H25" s="23"/>
      <c r="I25" s="23"/>
      <c r="J25" s="23"/>
      <c r="K25" s="15" t="s">
        <v>24</v>
      </c>
    </row>
    <row r="26" spans="1:11" ht="24" x14ac:dyDescent="0.4">
      <c r="A26">
        <v>25</v>
      </c>
      <c r="B26" s="30">
        <v>3.8</v>
      </c>
      <c r="C26" s="23" t="s">
        <v>184</v>
      </c>
      <c r="D26" s="23" t="b">
        <v>0</v>
      </c>
      <c r="E26" s="23"/>
      <c r="F26" s="7"/>
      <c r="G26" s="23"/>
      <c r="H26" s="23"/>
      <c r="I26" s="23"/>
      <c r="J26" s="23"/>
      <c r="K26" s="15" t="s">
        <v>24</v>
      </c>
    </row>
    <row r="27" spans="1:11" ht="24" x14ac:dyDescent="0.4">
      <c r="A27">
        <v>26</v>
      </c>
      <c r="B27" s="30">
        <v>3.9</v>
      </c>
      <c r="C27" s="23" t="s">
        <v>185</v>
      </c>
      <c r="D27" s="23" t="b">
        <v>0</v>
      </c>
      <c r="E27" s="23"/>
      <c r="F27" s="7"/>
      <c r="G27" s="23"/>
      <c r="H27" s="23"/>
      <c r="I27" s="23"/>
      <c r="J27" s="23"/>
      <c r="K27" s="1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original</vt:lpstr>
      <vt:lpstr>events</vt:lpstr>
      <vt:lpstr>trainingseminar</vt:lpstr>
      <vt:lpstr>trainingseminar-private</vt:lpstr>
      <vt:lpstr>trainingseminar-gov</vt:lpstr>
      <vt:lpstr>businesstravel-domestic</vt:lpstr>
      <vt:lpstr>businesstravel-trainingseminar</vt:lpstr>
      <vt:lpstr>reward-assessor</vt:lpstr>
      <vt:lpstr>reward-supplywork</vt:lpstr>
      <vt:lpstr>meeting-committee</vt:lpstr>
      <vt:lpstr>meeting-subcommittee</vt:lpstr>
      <vt:lpstr>businesstravel-international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น.ท.เฉลิมพล ปรีดารัตน์</dc:creator>
  <cp:lastModifiedBy>น.ท.เฉลิมพล ปรีดารัตน์</cp:lastModifiedBy>
  <dcterms:created xsi:type="dcterms:W3CDTF">2022-09-14T05:08:40Z</dcterms:created>
  <dcterms:modified xsi:type="dcterms:W3CDTF">2023-03-14T06:44:18Z</dcterms:modified>
</cp:coreProperties>
</file>